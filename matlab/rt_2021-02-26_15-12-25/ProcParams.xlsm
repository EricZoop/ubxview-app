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1720" windowHeight="13620" tabRatio="849"/>
  </bookViews>
  <sheets>
    <sheet name="General System Parameters" sheetId="22" r:id="rId1"/>
    <sheet name="Sequences" sheetId="27" r:id="rId2"/>
    <sheet name="Search1" sheetId="1" r:id="rId3"/>
    <sheet name="Search2" sheetId="43" r:id="rId4"/>
    <sheet name="Search3" sheetId="44" r:id="rId5"/>
    <sheet name="Search4" sheetId="45" r:id="rId6"/>
    <sheet name="Search5" sheetId="46" r:id="rId7"/>
    <sheet name="Track1" sheetId="47" r:id="rId8"/>
    <sheet name="Track2" sheetId="48" r:id="rId9"/>
    <sheet name="Track3" sheetId="49" r:id="rId10"/>
    <sheet name="Prop1" sheetId="52" r:id="rId11"/>
    <sheet name="Prop2" sheetId="53" r:id="rId12"/>
    <sheet name="Prop3" sheetId="54" r:id="rId13"/>
    <sheet name="Test" sheetId="51" r:id="rId14"/>
    <sheet name="RPM" sheetId="50" r:id="rId15"/>
    <sheet name="AGC Set Table" sheetId="59" r:id="rId16"/>
    <sheet name="Options List" sheetId="35" r:id="rId17"/>
    <sheet name="Parameters List" sheetId="36" r:id="rId18"/>
    <sheet name="XML Keys" sheetId="25" r:id="rId19"/>
    <sheet name="XML File Parameters" sheetId="29" r:id="rId20"/>
    <sheet name="Excel Explanation" sheetId="37" r:id="rId21"/>
    <sheet name="Modes Definition" sheetId="21" r:id="rId22"/>
  </sheets>
  <functionGroups builtInGroupCount="17"/>
  <externalReferences>
    <externalReference r:id="rId23"/>
  </externalReferences>
  <calcPr calcId="145621"/>
</workbook>
</file>

<file path=xl/calcChain.xml><?xml version="1.0" encoding="utf-8"?>
<calcChain xmlns="http://schemas.openxmlformats.org/spreadsheetml/2006/main">
  <c r="C210" i="53" l="1"/>
  <c r="B210" i="53"/>
  <c r="C209" i="53"/>
  <c r="B209" i="53"/>
  <c r="C208" i="53"/>
  <c r="B208" i="53"/>
  <c r="C207" i="53"/>
  <c r="B207" i="53"/>
  <c r="C206" i="53"/>
  <c r="B206" i="53"/>
  <c r="C205" i="53"/>
  <c r="B205" i="53"/>
  <c r="C204" i="53"/>
  <c r="B204" i="53"/>
  <c r="C203" i="53"/>
  <c r="B203" i="53"/>
  <c r="C202" i="53"/>
  <c r="B202" i="53"/>
  <c r="C201" i="53"/>
  <c r="B201" i="53"/>
  <c r="C200" i="53"/>
  <c r="B200" i="53"/>
  <c r="C199" i="53"/>
  <c r="B199" i="53"/>
  <c r="C198" i="53"/>
  <c r="B198" i="53"/>
  <c r="C197" i="53"/>
  <c r="B197" i="53"/>
  <c r="C196" i="53"/>
  <c r="B196" i="53"/>
  <c r="C195" i="53"/>
  <c r="B195" i="53"/>
  <c r="C194" i="53"/>
  <c r="B194" i="53"/>
  <c r="C193" i="53"/>
  <c r="B193" i="53"/>
  <c r="C192" i="53"/>
  <c r="B192" i="53"/>
  <c r="C191" i="53"/>
  <c r="B191" i="53"/>
  <c r="C190" i="53"/>
  <c r="B190" i="53"/>
  <c r="C189" i="53"/>
  <c r="B189" i="53"/>
  <c r="C188" i="53"/>
  <c r="B188" i="53"/>
  <c r="C187" i="53"/>
  <c r="B187" i="53"/>
  <c r="C186" i="53"/>
  <c r="B186" i="53"/>
  <c r="C185" i="53"/>
  <c r="B185" i="53"/>
  <c r="C184" i="53"/>
  <c r="B184" i="53"/>
  <c r="C183" i="53"/>
  <c r="B183" i="53"/>
  <c r="C182" i="53"/>
  <c r="B182" i="53"/>
  <c r="C181" i="53"/>
  <c r="B181" i="53"/>
  <c r="C180" i="53"/>
  <c r="B180" i="53"/>
  <c r="C179" i="53"/>
  <c r="B179" i="53"/>
  <c r="C178" i="53"/>
  <c r="B178" i="53"/>
  <c r="C177" i="53"/>
  <c r="B177" i="53"/>
  <c r="C176" i="53"/>
  <c r="B176" i="53"/>
  <c r="C175" i="53"/>
  <c r="B175" i="53"/>
  <c r="C174" i="53"/>
  <c r="B174" i="53"/>
  <c r="C173" i="53"/>
  <c r="B173" i="53"/>
  <c r="C172" i="53"/>
  <c r="B172" i="53"/>
  <c r="C171" i="53"/>
  <c r="B171" i="53"/>
  <c r="C170" i="53"/>
  <c r="B170" i="53"/>
  <c r="C169" i="53"/>
  <c r="B169" i="53"/>
  <c r="C168" i="53"/>
  <c r="B168" i="53"/>
  <c r="C167" i="53"/>
  <c r="B167" i="53"/>
  <c r="C166" i="53"/>
  <c r="B166" i="53"/>
  <c r="C165" i="53"/>
  <c r="B165" i="53"/>
  <c r="C164" i="53"/>
  <c r="B164" i="53"/>
  <c r="C163" i="53"/>
  <c r="B163" i="53"/>
  <c r="C162" i="53"/>
  <c r="B162" i="53"/>
  <c r="C161" i="53"/>
  <c r="B161" i="53"/>
  <c r="C160" i="53"/>
  <c r="B160" i="53"/>
  <c r="C159" i="53"/>
  <c r="B159" i="53"/>
  <c r="C158" i="53"/>
  <c r="B158" i="53"/>
  <c r="C157" i="53"/>
  <c r="B157" i="53"/>
  <c r="C156" i="53"/>
  <c r="B156" i="53"/>
  <c r="C155" i="53"/>
  <c r="B155" i="53"/>
  <c r="B153" i="53"/>
  <c r="B152" i="53"/>
  <c r="B151" i="53"/>
  <c r="B150" i="53"/>
  <c r="B148" i="53"/>
  <c r="B147" i="53"/>
  <c r="B146" i="53"/>
  <c r="B145" i="53"/>
  <c r="B143" i="53"/>
  <c r="B142" i="53"/>
  <c r="B141" i="53"/>
  <c r="B140" i="53"/>
  <c r="B139" i="53"/>
  <c r="B138" i="53"/>
  <c r="B137" i="53"/>
  <c r="B136" i="53"/>
  <c r="B135" i="53"/>
  <c r="B134" i="53"/>
  <c r="B133" i="53"/>
  <c r="B132" i="53"/>
  <c r="B131" i="53"/>
  <c r="B129" i="53"/>
  <c r="B128" i="53"/>
  <c r="B127" i="53"/>
  <c r="B126" i="53"/>
  <c r="B124" i="53"/>
  <c r="B123" i="53"/>
  <c r="B122" i="53"/>
  <c r="B121" i="53"/>
  <c r="B120" i="53"/>
  <c r="B118" i="53"/>
  <c r="B117" i="53"/>
  <c r="B116" i="53"/>
  <c r="B115" i="53"/>
  <c r="B114" i="53"/>
  <c r="B113" i="53"/>
  <c r="C112" i="53"/>
  <c r="B112" i="53"/>
  <c r="B110" i="53"/>
  <c r="B109" i="53"/>
  <c r="B108" i="53"/>
  <c r="B107" i="53"/>
  <c r="B106" i="53"/>
  <c r="B105" i="53"/>
  <c r="B104" i="53"/>
  <c r="B102" i="53"/>
  <c r="B101" i="53"/>
  <c r="B100" i="53"/>
  <c r="B99" i="53"/>
  <c r="B98" i="53"/>
  <c r="B97" i="53"/>
  <c r="B96" i="53"/>
  <c r="B95" i="53"/>
  <c r="B94" i="53"/>
  <c r="B93" i="53"/>
  <c r="B92" i="53"/>
  <c r="B91" i="53"/>
  <c r="B90" i="53"/>
  <c r="D89" i="53"/>
  <c r="C89" i="53"/>
  <c r="B89" i="53"/>
  <c r="B88" i="53"/>
  <c r="D87" i="53"/>
  <c r="C87" i="53"/>
  <c r="B87" i="53"/>
  <c r="D86" i="53"/>
  <c r="C86" i="53"/>
  <c r="B86" i="53"/>
  <c r="D85" i="53"/>
  <c r="C85" i="53"/>
  <c r="B85" i="53"/>
  <c r="D84" i="53"/>
  <c r="C84" i="53"/>
  <c r="C135" i="53" s="1"/>
  <c r="B84" i="53"/>
  <c r="D83" i="53"/>
  <c r="C83" i="53"/>
  <c r="B83" i="53"/>
  <c r="D82" i="53"/>
  <c r="C82" i="53"/>
  <c r="B82" i="53"/>
  <c r="B81" i="53"/>
  <c r="B80" i="53"/>
  <c r="B79" i="53"/>
  <c r="B78" i="53"/>
  <c r="B77" i="53"/>
  <c r="B76" i="53"/>
  <c r="B75" i="53"/>
  <c r="B74" i="53"/>
  <c r="B73" i="53"/>
  <c r="B72" i="53"/>
  <c r="B71" i="53"/>
  <c r="B70" i="53"/>
  <c r="B69" i="53"/>
  <c r="B68" i="53"/>
  <c r="B67" i="53"/>
  <c r="B66" i="53"/>
  <c r="B65" i="53"/>
  <c r="B64" i="53"/>
  <c r="B63" i="53"/>
  <c r="B62" i="53"/>
  <c r="B61" i="53"/>
  <c r="B60" i="53"/>
  <c r="B59" i="53"/>
  <c r="B58" i="53"/>
  <c r="B57" i="53"/>
  <c r="B56" i="53"/>
  <c r="D55" i="53"/>
  <c r="C55" i="53"/>
  <c r="B55" i="53"/>
  <c r="B54" i="53"/>
  <c r="B53" i="53"/>
  <c r="B52" i="53"/>
  <c r="B51" i="53"/>
  <c r="B50" i="53"/>
  <c r="B49" i="53"/>
  <c r="B48" i="53"/>
  <c r="B47" i="53"/>
  <c r="B46" i="53"/>
  <c r="B45" i="53"/>
  <c r="B44" i="53"/>
  <c r="B43" i="53"/>
  <c r="B42" i="53"/>
  <c r="B41" i="53"/>
  <c r="B40" i="53"/>
  <c r="B39" i="53"/>
  <c r="B38" i="53"/>
  <c r="B37" i="53"/>
  <c r="D36" i="53"/>
  <c r="C36" i="53"/>
  <c r="B36" i="53"/>
  <c r="B35" i="53"/>
  <c r="D34" i="53"/>
  <c r="C34" i="53"/>
  <c r="B34" i="53"/>
  <c r="B33" i="53"/>
  <c r="B32" i="53"/>
  <c r="B31" i="53"/>
  <c r="B30" i="53"/>
  <c r="B29" i="53"/>
  <c r="B28" i="53"/>
  <c r="B27" i="53"/>
  <c r="D26" i="53"/>
  <c r="C26" i="53"/>
  <c r="B26" i="53"/>
  <c r="D25" i="53"/>
  <c r="D28" i="53" s="1"/>
  <c r="C25" i="53"/>
  <c r="C28" i="53" s="1"/>
  <c r="B25" i="53"/>
  <c r="D24" i="53"/>
  <c r="C24" i="53"/>
  <c r="B24" i="53"/>
  <c r="B23" i="53"/>
  <c r="B22" i="53"/>
  <c r="B21" i="53"/>
  <c r="B20" i="53"/>
  <c r="B19" i="53"/>
  <c r="AJ18" i="53"/>
  <c r="AI18" i="53"/>
  <c r="AH18" i="53"/>
  <c r="AG18" i="53"/>
  <c r="AF18" i="53"/>
  <c r="AE18" i="53"/>
  <c r="AD18" i="53"/>
  <c r="AC18" i="53"/>
  <c r="AB18" i="53"/>
  <c r="AA18" i="53"/>
  <c r="Z18" i="53"/>
  <c r="Y18" i="53"/>
  <c r="X18" i="53"/>
  <c r="W18" i="53"/>
  <c r="V18" i="53"/>
  <c r="U18" i="53"/>
  <c r="T18" i="53"/>
  <c r="S18" i="53"/>
  <c r="R18" i="53"/>
  <c r="Q18" i="53"/>
  <c r="P18" i="53"/>
  <c r="O18" i="53"/>
  <c r="N18" i="53"/>
  <c r="M18" i="53"/>
  <c r="L18" i="53"/>
  <c r="K18" i="53"/>
  <c r="J18" i="53"/>
  <c r="I18" i="53"/>
  <c r="H18" i="53"/>
  <c r="G18" i="53"/>
  <c r="F18" i="53"/>
  <c r="E18" i="53"/>
  <c r="C104" i="53" s="1"/>
  <c r="B18" i="53"/>
  <c r="B17" i="53"/>
  <c r="B16" i="53"/>
  <c r="B15" i="53"/>
  <c r="B14" i="53"/>
  <c r="B13" i="53"/>
  <c r="B11" i="53"/>
  <c r="B10" i="53"/>
  <c r="B9" i="53"/>
  <c r="B8" i="53"/>
  <c r="B6" i="53"/>
  <c r="B5" i="53"/>
  <c r="B4" i="53"/>
  <c r="B3" i="53"/>
  <c r="B1" i="53"/>
  <c r="C210" i="52"/>
  <c r="B210" i="52"/>
  <c r="C209" i="52"/>
  <c r="B209" i="52"/>
  <c r="C208" i="52"/>
  <c r="B208" i="52"/>
  <c r="C207" i="52"/>
  <c r="B207" i="52"/>
  <c r="C206" i="52"/>
  <c r="B206" i="52"/>
  <c r="C205" i="52"/>
  <c r="B205" i="52"/>
  <c r="C204" i="52"/>
  <c r="B204" i="52"/>
  <c r="C203" i="52"/>
  <c r="B203" i="52"/>
  <c r="C202" i="52"/>
  <c r="B202" i="52"/>
  <c r="C201" i="52"/>
  <c r="B201" i="52"/>
  <c r="C200" i="52"/>
  <c r="B200" i="52"/>
  <c r="C199" i="52"/>
  <c r="B199" i="52"/>
  <c r="C198" i="52"/>
  <c r="B198" i="52"/>
  <c r="C197" i="52"/>
  <c r="B197" i="52"/>
  <c r="C196" i="52"/>
  <c r="B196" i="52"/>
  <c r="C195" i="52"/>
  <c r="B195" i="52"/>
  <c r="C194" i="52"/>
  <c r="B194" i="52"/>
  <c r="C193" i="52"/>
  <c r="B193" i="52"/>
  <c r="C192" i="52"/>
  <c r="B192" i="52"/>
  <c r="C191" i="52"/>
  <c r="B191" i="52"/>
  <c r="C190" i="52"/>
  <c r="B190" i="52"/>
  <c r="C189" i="52"/>
  <c r="B189" i="52"/>
  <c r="C188" i="52"/>
  <c r="B188" i="52"/>
  <c r="C187" i="52"/>
  <c r="B187" i="52"/>
  <c r="C186" i="52"/>
  <c r="B186" i="52"/>
  <c r="C185" i="52"/>
  <c r="B185" i="52"/>
  <c r="C184" i="52"/>
  <c r="B184" i="52"/>
  <c r="C183" i="52"/>
  <c r="B183" i="52"/>
  <c r="C182" i="52"/>
  <c r="B182" i="52"/>
  <c r="C181" i="52"/>
  <c r="B181" i="52"/>
  <c r="C180" i="52"/>
  <c r="B180" i="52"/>
  <c r="C179" i="52"/>
  <c r="B179" i="52"/>
  <c r="C178" i="52"/>
  <c r="B178" i="52"/>
  <c r="C177" i="52"/>
  <c r="B177" i="52"/>
  <c r="C176" i="52"/>
  <c r="B176" i="52"/>
  <c r="C175" i="52"/>
  <c r="B175" i="52"/>
  <c r="C174" i="52"/>
  <c r="B174" i="52"/>
  <c r="C173" i="52"/>
  <c r="B173" i="52"/>
  <c r="C172" i="52"/>
  <c r="B172" i="52"/>
  <c r="C171" i="52"/>
  <c r="B171" i="52"/>
  <c r="C170" i="52"/>
  <c r="B170" i="52"/>
  <c r="C169" i="52"/>
  <c r="B169" i="52"/>
  <c r="C168" i="52"/>
  <c r="B168" i="52"/>
  <c r="C167" i="52"/>
  <c r="B167" i="52"/>
  <c r="C166" i="52"/>
  <c r="B166" i="52"/>
  <c r="C165" i="52"/>
  <c r="B165" i="52"/>
  <c r="C164" i="52"/>
  <c r="B164" i="52"/>
  <c r="C163" i="52"/>
  <c r="B163" i="52"/>
  <c r="C162" i="52"/>
  <c r="B162" i="52"/>
  <c r="C161" i="52"/>
  <c r="B161" i="52"/>
  <c r="C160" i="52"/>
  <c r="B160" i="52"/>
  <c r="C159" i="52"/>
  <c r="B159" i="52"/>
  <c r="C158" i="52"/>
  <c r="B158" i="52"/>
  <c r="C157" i="52"/>
  <c r="B157" i="52"/>
  <c r="C156" i="52"/>
  <c r="B156" i="52"/>
  <c r="C155" i="52"/>
  <c r="B155" i="52"/>
  <c r="B153" i="52"/>
  <c r="B152" i="52"/>
  <c r="B151" i="52"/>
  <c r="B150" i="52"/>
  <c r="B148" i="52"/>
  <c r="B147" i="52"/>
  <c r="B146" i="52"/>
  <c r="B145" i="52"/>
  <c r="B143" i="52"/>
  <c r="B142" i="52"/>
  <c r="B141" i="52"/>
  <c r="B140" i="52"/>
  <c r="B139" i="52"/>
  <c r="B138" i="52"/>
  <c r="B137" i="52"/>
  <c r="B136" i="52"/>
  <c r="B135" i="52"/>
  <c r="B134" i="52"/>
  <c r="B133" i="52"/>
  <c r="B132" i="52"/>
  <c r="B131" i="52"/>
  <c r="B129" i="52"/>
  <c r="B128" i="52"/>
  <c r="B127" i="52"/>
  <c r="B126" i="52"/>
  <c r="B124" i="52"/>
  <c r="B123" i="52"/>
  <c r="B122" i="52"/>
  <c r="B121" i="52"/>
  <c r="B120" i="52"/>
  <c r="B118" i="52"/>
  <c r="B117" i="52"/>
  <c r="B116" i="52"/>
  <c r="B115" i="52"/>
  <c r="B114" i="52"/>
  <c r="B113" i="52"/>
  <c r="B112" i="52"/>
  <c r="B110" i="52"/>
  <c r="B109" i="52"/>
  <c r="B108" i="52"/>
  <c r="B107" i="52"/>
  <c r="B106" i="52"/>
  <c r="B105" i="52"/>
  <c r="B104" i="52"/>
  <c r="B102" i="52"/>
  <c r="B101" i="52"/>
  <c r="B100" i="52"/>
  <c r="B99" i="52"/>
  <c r="B98" i="52"/>
  <c r="B97" i="52"/>
  <c r="B96" i="52"/>
  <c r="B95" i="52"/>
  <c r="B94" i="52"/>
  <c r="B93" i="52"/>
  <c r="B92" i="52"/>
  <c r="B91" i="52"/>
  <c r="B90" i="52"/>
  <c r="D89" i="52"/>
  <c r="C89" i="52"/>
  <c r="B89" i="52"/>
  <c r="B88" i="52"/>
  <c r="D87" i="52"/>
  <c r="C87" i="52"/>
  <c r="B87" i="52"/>
  <c r="D86" i="52"/>
  <c r="C86" i="52"/>
  <c r="B86" i="52"/>
  <c r="D85" i="52"/>
  <c r="C85" i="52"/>
  <c r="B85" i="52"/>
  <c r="D84" i="52"/>
  <c r="C84" i="52"/>
  <c r="B84" i="52"/>
  <c r="D83" i="52"/>
  <c r="C83" i="52"/>
  <c r="B83" i="52"/>
  <c r="D82" i="52"/>
  <c r="C82" i="52"/>
  <c r="B82" i="52"/>
  <c r="B81" i="52"/>
  <c r="B80" i="52"/>
  <c r="B79" i="52"/>
  <c r="B78" i="52"/>
  <c r="B77" i="52"/>
  <c r="B76" i="52"/>
  <c r="B75" i="52"/>
  <c r="B74" i="52"/>
  <c r="B73" i="52"/>
  <c r="B72" i="52"/>
  <c r="B71" i="52"/>
  <c r="B70" i="52"/>
  <c r="B69" i="52"/>
  <c r="B68" i="52"/>
  <c r="B67" i="52"/>
  <c r="B66" i="52"/>
  <c r="B65" i="52"/>
  <c r="B64" i="52"/>
  <c r="B63" i="52"/>
  <c r="B62" i="52"/>
  <c r="B61" i="52"/>
  <c r="B60" i="52"/>
  <c r="B59" i="52"/>
  <c r="B58" i="52"/>
  <c r="B57" i="52"/>
  <c r="B56" i="52"/>
  <c r="D55" i="52"/>
  <c r="C55" i="52"/>
  <c r="B55" i="52"/>
  <c r="B54" i="52"/>
  <c r="B53" i="52"/>
  <c r="B52" i="52"/>
  <c r="B51" i="52"/>
  <c r="B50" i="52"/>
  <c r="B49" i="52"/>
  <c r="B48" i="52"/>
  <c r="B47" i="52"/>
  <c r="B46" i="52"/>
  <c r="B45" i="52"/>
  <c r="B44" i="52"/>
  <c r="B43" i="52"/>
  <c r="B42" i="52"/>
  <c r="B41" i="52"/>
  <c r="B40" i="52"/>
  <c r="B39" i="52"/>
  <c r="B38" i="52"/>
  <c r="B37" i="52"/>
  <c r="D36" i="52"/>
  <c r="C36" i="52"/>
  <c r="B36" i="52"/>
  <c r="B35" i="52"/>
  <c r="D34" i="52"/>
  <c r="C34" i="52"/>
  <c r="B34" i="52"/>
  <c r="B33" i="52"/>
  <c r="B32" i="52"/>
  <c r="B31" i="52"/>
  <c r="B30" i="52"/>
  <c r="B29" i="52"/>
  <c r="B28" i="52"/>
  <c r="B27" i="52"/>
  <c r="D26" i="52"/>
  <c r="C26" i="52"/>
  <c r="B26" i="52"/>
  <c r="D25" i="52"/>
  <c r="D28" i="52" s="1"/>
  <c r="C25" i="52"/>
  <c r="C28" i="52" s="1"/>
  <c r="B25" i="52"/>
  <c r="D24" i="52"/>
  <c r="C24" i="52"/>
  <c r="B24" i="52"/>
  <c r="B23" i="52"/>
  <c r="B22" i="52"/>
  <c r="B21" i="52"/>
  <c r="B20" i="52"/>
  <c r="B19" i="52"/>
  <c r="AJ18" i="52"/>
  <c r="AI18" i="52"/>
  <c r="AH18" i="52"/>
  <c r="AG18" i="52"/>
  <c r="AF18" i="52"/>
  <c r="AE18" i="52"/>
  <c r="AD18" i="52"/>
  <c r="AC18" i="52"/>
  <c r="AB18" i="52"/>
  <c r="AA18" i="52"/>
  <c r="Z18" i="52"/>
  <c r="Y18" i="52"/>
  <c r="X18" i="52"/>
  <c r="W18" i="52"/>
  <c r="V18" i="52"/>
  <c r="U18" i="52"/>
  <c r="T18" i="52"/>
  <c r="S18" i="52"/>
  <c r="R18" i="52"/>
  <c r="Q18" i="52"/>
  <c r="P18" i="52"/>
  <c r="O18" i="52"/>
  <c r="N18" i="52"/>
  <c r="M18" i="52"/>
  <c r="L18" i="52"/>
  <c r="K18" i="52"/>
  <c r="J18" i="52"/>
  <c r="I18" i="52"/>
  <c r="H18" i="52"/>
  <c r="G18" i="52"/>
  <c r="F18" i="52"/>
  <c r="E18" i="52"/>
  <c r="C104" i="52" s="1"/>
  <c r="B18" i="52"/>
  <c r="B17" i="52"/>
  <c r="B16" i="52"/>
  <c r="B15" i="52"/>
  <c r="B14" i="52"/>
  <c r="B13" i="52"/>
  <c r="B11" i="52"/>
  <c r="B10" i="52"/>
  <c r="B9" i="52"/>
  <c r="B8" i="52"/>
  <c r="B6" i="52"/>
  <c r="B5" i="52"/>
  <c r="B4" i="52"/>
  <c r="B3" i="52"/>
  <c r="B1" i="52"/>
  <c r="C106" i="53" l="1"/>
  <c r="C105" i="53"/>
  <c r="C27" i="53"/>
  <c r="D27" i="53"/>
  <c r="C132" i="53"/>
  <c r="C133" i="53" s="1"/>
  <c r="C100" i="53"/>
  <c r="D132" i="53"/>
  <c r="D133" i="53" s="1"/>
  <c r="D113" i="53"/>
  <c r="D114" i="53" s="1"/>
  <c r="D100" i="53"/>
  <c r="C37" i="53"/>
  <c r="D37" i="53"/>
  <c r="C38" i="53"/>
  <c r="D38" i="53"/>
  <c r="C43" i="53"/>
  <c r="D43" i="53"/>
  <c r="C45" i="53"/>
  <c r="D45" i="53"/>
  <c r="C50" i="53"/>
  <c r="D50" i="53"/>
  <c r="C51" i="53"/>
  <c r="D51" i="53"/>
  <c r="C136" i="53"/>
  <c r="D136" i="53"/>
  <c r="D135" i="53"/>
  <c r="C92" i="53"/>
  <c r="D92" i="53"/>
  <c r="C93" i="53"/>
  <c r="D93" i="53"/>
  <c r="C90" i="53"/>
  <c r="D90" i="53"/>
  <c r="C106" i="52"/>
  <c r="C105" i="52"/>
  <c r="C27" i="52"/>
  <c r="D27" i="52"/>
  <c r="C132" i="52"/>
  <c r="C133" i="52" s="1"/>
  <c r="C100" i="52"/>
  <c r="D132" i="52"/>
  <c r="D133" i="52" s="1"/>
  <c r="D113" i="52"/>
  <c r="D114" i="52" s="1"/>
  <c r="D100" i="52"/>
  <c r="C37" i="52"/>
  <c r="D37" i="52"/>
  <c r="C38" i="52"/>
  <c r="D38" i="52"/>
  <c r="C43" i="52"/>
  <c r="D43" i="52"/>
  <c r="C45" i="52"/>
  <c r="D45" i="52"/>
  <c r="C50" i="52"/>
  <c r="D50" i="52"/>
  <c r="C51" i="52"/>
  <c r="D51" i="52"/>
  <c r="C135" i="52"/>
  <c r="C114" i="52"/>
  <c r="D136" i="52"/>
  <c r="D135" i="52"/>
  <c r="C92" i="52"/>
  <c r="D92" i="52"/>
  <c r="C93" i="52"/>
  <c r="D93" i="52"/>
  <c r="C90" i="52"/>
  <c r="D90" i="52"/>
  <c r="D57" i="43"/>
  <c r="C57" i="43"/>
  <c r="D94" i="53" l="1"/>
  <c r="C94" i="53"/>
  <c r="D95" i="53"/>
  <c r="D96" i="53" s="1"/>
  <c r="D52" i="53"/>
  <c r="C101" i="53"/>
  <c r="C95" i="53"/>
  <c r="C96" i="53" s="1"/>
  <c r="C52" i="53"/>
  <c r="D53" i="53"/>
  <c r="D54" i="53" s="1"/>
  <c r="D101" i="53" s="1"/>
  <c r="D44" i="53"/>
  <c r="C53" i="53"/>
  <c r="C54" i="53" s="1"/>
  <c r="C44" i="53"/>
  <c r="D39" i="53"/>
  <c r="C39" i="53"/>
  <c r="D116" i="53"/>
  <c r="D117" i="53" s="1"/>
  <c r="D115" i="53"/>
  <c r="C110" i="53"/>
  <c r="C109" i="53"/>
  <c r="D30" i="53"/>
  <c r="D137" i="53" s="1"/>
  <c r="C30" i="53"/>
  <c r="C137" i="53" s="1"/>
  <c r="C107" i="53"/>
  <c r="D65" i="53"/>
  <c r="C65" i="53"/>
  <c r="D94" i="52"/>
  <c r="C94" i="52"/>
  <c r="C116" i="52"/>
  <c r="C117" i="52" s="1"/>
  <c r="C115" i="52"/>
  <c r="C136" i="52"/>
  <c r="D95" i="52"/>
  <c r="D96" i="52" s="1"/>
  <c r="D52" i="52"/>
  <c r="C101" i="52"/>
  <c r="C95" i="52"/>
  <c r="C96" i="52" s="1"/>
  <c r="C52" i="52"/>
  <c r="D53" i="52"/>
  <c r="D54" i="52" s="1"/>
  <c r="D101" i="52" s="1"/>
  <c r="D44" i="52"/>
  <c r="C53" i="52"/>
  <c r="C54" i="52" s="1"/>
  <c r="C44" i="52"/>
  <c r="D39" i="52"/>
  <c r="C39" i="52"/>
  <c r="D116" i="52"/>
  <c r="D117" i="52" s="1"/>
  <c r="D115" i="52"/>
  <c r="C110" i="52"/>
  <c r="C109" i="52"/>
  <c r="D30" i="52"/>
  <c r="D137" i="52" s="1"/>
  <c r="C30" i="52"/>
  <c r="C137" i="52" s="1"/>
  <c r="C107" i="52"/>
  <c r="D65" i="52"/>
  <c r="C65" i="52"/>
  <c r="O18" i="43"/>
  <c r="N18" i="43"/>
  <c r="M18" i="43"/>
  <c r="L18" i="43"/>
  <c r="D102" i="52" l="1"/>
  <c r="D102" i="53"/>
  <c r="D153" i="53"/>
  <c r="D138" i="53"/>
  <c r="D139" i="53" s="1"/>
  <c r="D151" i="53" s="1"/>
  <c r="C71" i="53"/>
  <c r="C70" i="53"/>
  <c r="C63" i="53"/>
  <c r="C64" i="53" s="1"/>
  <c r="D71" i="53"/>
  <c r="D70" i="53"/>
  <c r="D63" i="53"/>
  <c r="D64" i="53" s="1"/>
  <c r="D128" i="53"/>
  <c r="C128" i="53"/>
  <c r="D127" i="53"/>
  <c r="D129" i="53" s="1"/>
  <c r="C127" i="53"/>
  <c r="C129" i="53" s="1"/>
  <c r="C108" i="53"/>
  <c r="C153" i="53"/>
  <c r="C138" i="53"/>
  <c r="C139" i="53" s="1"/>
  <c r="C151" i="53" s="1"/>
  <c r="C60" i="53"/>
  <c r="C61" i="53" s="1"/>
  <c r="C97" i="53" s="1"/>
  <c r="D60" i="53"/>
  <c r="D61" i="53" s="1"/>
  <c r="D97" i="53" s="1"/>
  <c r="C113" i="53"/>
  <c r="C114" i="53" s="1"/>
  <c r="C91" i="53"/>
  <c r="C99" i="53" s="1"/>
  <c r="C79" i="53" s="1"/>
  <c r="D91" i="53"/>
  <c r="D99" i="53" s="1"/>
  <c r="D79" i="53" s="1"/>
  <c r="C68" i="53"/>
  <c r="C67" i="53"/>
  <c r="C102" i="53"/>
  <c r="D68" i="53"/>
  <c r="D67" i="53"/>
  <c r="C140" i="53"/>
  <c r="D140" i="53"/>
  <c r="C147" i="53"/>
  <c r="D147" i="53"/>
  <c r="C148" i="53"/>
  <c r="C146" i="53"/>
  <c r="D148" i="53"/>
  <c r="D146" i="53"/>
  <c r="C153" i="52"/>
  <c r="C138" i="52"/>
  <c r="C139" i="52" s="1"/>
  <c r="C151" i="52" s="1"/>
  <c r="D153" i="52"/>
  <c r="D138" i="52"/>
  <c r="D139" i="52" s="1"/>
  <c r="D151" i="52" s="1"/>
  <c r="C71" i="52"/>
  <c r="C70" i="52"/>
  <c r="C63" i="52"/>
  <c r="C64" i="52" s="1"/>
  <c r="D71" i="52"/>
  <c r="D70" i="52"/>
  <c r="D63" i="52"/>
  <c r="D64" i="52" s="1"/>
  <c r="D128" i="52"/>
  <c r="C128" i="52"/>
  <c r="D127" i="52"/>
  <c r="D129" i="52" s="1"/>
  <c r="C127" i="52"/>
  <c r="C129" i="52" s="1"/>
  <c r="C108" i="52"/>
  <c r="C60" i="52"/>
  <c r="C61" i="52" s="1"/>
  <c r="C97" i="52" s="1"/>
  <c r="D60" i="52"/>
  <c r="D61" i="52" s="1"/>
  <c r="D97" i="52" s="1"/>
  <c r="C91" i="52"/>
  <c r="C99" i="52" s="1"/>
  <c r="C79" i="52" s="1"/>
  <c r="D91" i="52"/>
  <c r="D99" i="52" s="1"/>
  <c r="D79" i="52" s="1"/>
  <c r="C68" i="52"/>
  <c r="C67" i="52"/>
  <c r="C102" i="52"/>
  <c r="D68" i="52"/>
  <c r="D67" i="52"/>
  <c r="C140" i="52"/>
  <c r="D140" i="52"/>
  <c r="C147" i="52"/>
  <c r="D147" i="52"/>
  <c r="C148" i="52"/>
  <c r="C146" i="52"/>
  <c r="D148" i="52"/>
  <c r="D146" i="52"/>
  <c r="C210" i="45"/>
  <c r="B210" i="45"/>
  <c r="C209" i="45"/>
  <c r="B209" i="45"/>
  <c r="C208" i="45"/>
  <c r="B208" i="45"/>
  <c r="C207" i="45"/>
  <c r="B207" i="45"/>
  <c r="C206" i="45"/>
  <c r="B206" i="45"/>
  <c r="C205" i="45"/>
  <c r="B205" i="45"/>
  <c r="C204" i="45"/>
  <c r="B204" i="45"/>
  <c r="C203" i="45"/>
  <c r="B203" i="45"/>
  <c r="C202" i="45"/>
  <c r="B202" i="45"/>
  <c r="C201" i="45"/>
  <c r="B201" i="45"/>
  <c r="C200" i="45"/>
  <c r="B200" i="45"/>
  <c r="C199" i="45"/>
  <c r="B199" i="45"/>
  <c r="C198" i="45"/>
  <c r="B198" i="45"/>
  <c r="C197" i="45"/>
  <c r="B197" i="45"/>
  <c r="C196" i="45"/>
  <c r="B196" i="45"/>
  <c r="C195" i="45"/>
  <c r="B195" i="45"/>
  <c r="C194" i="45"/>
  <c r="B194" i="45"/>
  <c r="C193" i="45"/>
  <c r="B193" i="45"/>
  <c r="C192" i="45"/>
  <c r="B192" i="45"/>
  <c r="C191" i="45"/>
  <c r="B191" i="45"/>
  <c r="C190" i="45"/>
  <c r="B190" i="45"/>
  <c r="C189" i="45"/>
  <c r="B189" i="45"/>
  <c r="C188" i="45"/>
  <c r="B188" i="45"/>
  <c r="C187" i="45"/>
  <c r="B187" i="45"/>
  <c r="C186" i="45"/>
  <c r="B186" i="45"/>
  <c r="C185" i="45"/>
  <c r="B185" i="45"/>
  <c r="C184" i="45"/>
  <c r="B184" i="45"/>
  <c r="C183" i="45"/>
  <c r="B183" i="45"/>
  <c r="C182" i="45"/>
  <c r="B182" i="45"/>
  <c r="C181" i="45"/>
  <c r="B181" i="45"/>
  <c r="C180" i="45"/>
  <c r="B180" i="45"/>
  <c r="C179" i="45"/>
  <c r="B179" i="45"/>
  <c r="C178" i="45"/>
  <c r="B178" i="45"/>
  <c r="C177" i="45"/>
  <c r="B177" i="45"/>
  <c r="C176" i="45"/>
  <c r="B176" i="45"/>
  <c r="C175" i="45"/>
  <c r="B175" i="45"/>
  <c r="C174" i="45"/>
  <c r="B174" i="45"/>
  <c r="C173" i="45"/>
  <c r="B173" i="45"/>
  <c r="C172" i="45"/>
  <c r="B172" i="45"/>
  <c r="C171" i="45"/>
  <c r="B171" i="45"/>
  <c r="C170" i="45"/>
  <c r="B170" i="45"/>
  <c r="C169" i="45"/>
  <c r="B169" i="45"/>
  <c r="C168" i="45"/>
  <c r="B168" i="45"/>
  <c r="C167" i="45"/>
  <c r="B167" i="45"/>
  <c r="C166" i="45"/>
  <c r="B166" i="45"/>
  <c r="C165" i="45"/>
  <c r="B165" i="45"/>
  <c r="C164" i="45"/>
  <c r="B164" i="45"/>
  <c r="C163" i="45"/>
  <c r="B163" i="45"/>
  <c r="C162" i="45"/>
  <c r="B162" i="45"/>
  <c r="C161" i="45"/>
  <c r="B161" i="45"/>
  <c r="C160" i="45"/>
  <c r="B160" i="45"/>
  <c r="C159" i="45"/>
  <c r="B159" i="45"/>
  <c r="C158" i="45"/>
  <c r="B158" i="45"/>
  <c r="C157" i="45"/>
  <c r="B157" i="45"/>
  <c r="C156" i="45"/>
  <c r="B156" i="45"/>
  <c r="C155" i="45"/>
  <c r="B155" i="45"/>
  <c r="B153" i="45"/>
  <c r="B152" i="45"/>
  <c r="B151" i="45"/>
  <c r="B150" i="45"/>
  <c r="B148" i="45"/>
  <c r="B147" i="45"/>
  <c r="B146" i="45"/>
  <c r="B145" i="45"/>
  <c r="B143" i="45"/>
  <c r="B142" i="45"/>
  <c r="B141" i="45"/>
  <c r="B140" i="45"/>
  <c r="B139" i="45"/>
  <c r="B138" i="45"/>
  <c r="B137" i="45"/>
  <c r="D136" i="45"/>
  <c r="B136" i="45"/>
  <c r="B135" i="45"/>
  <c r="B134" i="45"/>
  <c r="B133" i="45"/>
  <c r="B132" i="45"/>
  <c r="B131" i="45"/>
  <c r="B129" i="45"/>
  <c r="B128" i="45"/>
  <c r="B127" i="45"/>
  <c r="B126" i="45"/>
  <c r="B124" i="45"/>
  <c r="B123" i="45"/>
  <c r="B122" i="45"/>
  <c r="B121" i="45"/>
  <c r="B120" i="45"/>
  <c r="B118" i="45"/>
  <c r="B117" i="45"/>
  <c r="B116" i="45"/>
  <c r="B115" i="45"/>
  <c r="B114" i="45"/>
  <c r="B113" i="45"/>
  <c r="D112" i="45"/>
  <c r="C112" i="45"/>
  <c r="B112" i="45"/>
  <c r="B110" i="45"/>
  <c r="B109" i="45"/>
  <c r="B108" i="45"/>
  <c r="B107" i="45"/>
  <c r="B106" i="45"/>
  <c r="B105" i="45"/>
  <c r="B104" i="45"/>
  <c r="B102" i="45"/>
  <c r="B101" i="45"/>
  <c r="B100" i="45"/>
  <c r="B99" i="45"/>
  <c r="B98" i="45"/>
  <c r="B97" i="45"/>
  <c r="B96" i="45"/>
  <c r="B95" i="45"/>
  <c r="B94" i="45"/>
  <c r="D93" i="45"/>
  <c r="D94" i="45" s="1"/>
  <c r="B93" i="45"/>
  <c r="D92" i="45"/>
  <c r="B92" i="45"/>
  <c r="B91" i="45"/>
  <c r="C90" i="45"/>
  <c r="B90" i="45"/>
  <c r="D89" i="45"/>
  <c r="C89" i="45"/>
  <c r="B89" i="45"/>
  <c r="B88" i="45"/>
  <c r="D87" i="45"/>
  <c r="C87" i="45"/>
  <c r="C93" i="45" s="1"/>
  <c r="B87" i="45"/>
  <c r="D86" i="45"/>
  <c r="C86" i="45"/>
  <c r="C92" i="45" s="1"/>
  <c r="B86" i="45"/>
  <c r="D85" i="45"/>
  <c r="C85" i="45"/>
  <c r="B85" i="45"/>
  <c r="D84" i="45"/>
  <c r="C84" i="45"/>
  <c r="B84" i="45"/>
  <c r="D83" i="45"/>
  <c r="C83" i="45"/>
  <c r="B83" i="45"/>
  <c r="D82" i="45"/>
  <c r="C82" i="45"/>
  <c r="B82" i="45"/>
  <c r="B81" i="45"/>
  <c r="B80" i="45"/>
  <c r="B79" i="45"/>
  <c r="B78" i="45"/>
  <c r="B77" i="45"/>
  <c r="B76" i="45"/>
  <c r="B75" i="45"/>
  <c r="B74" i="45"/>
  <c r="B73" i="45"/>
  <c r="B72" i="45"/>
  <c r="B71" i="45"/>
  <c r="B70" i="45"/>
  <c r="B69" i="45"/>
  <c r="B68" i="45"/>
  <c r="B67" i="45"/>
  <c r="B66" i="45"/>
  <c r="B65" i="45"/>
  <c r="B64" i="45"/>
  <c r="B63" i="45"/>
  <c r="B62" i="45"/>
  <c r="B61" i="45"/>
  <c r="B60" i="45"/>
  <c r="B59" i="45"/>
  <c r="B58" i="45"/>
  <c r="J57" i="45"/>
  <c r="I57" i="45"/>
  <c r="B57" i="45"/>
  <c r="B56" i="45"/>
  <c r="D55" i="45"/>
  <c r="C55" i="45"/>
  <c r="B55" i="45"/>
  <c r="B54" i="45"/>
  <c r="B53" i="45"/>
  <c r="B52" i="45"/>
  <c r="B51" i="45"/>
  <c r="B50" i="45"/>
  <c r="B49" i="45"/>
  <c r="B48" i="45"/>
  <c r="B47" i="45"/>
  <c r="B46" i="45"/>
  <c r="B45" i="45"/>
  <c r="B44" i="45"/>
  <c r="D43" i="45"/>
  <c r="C43" i="45"/>
  <c r="B43" i="45"/>
  <c r="B42" i="45"/>
  <c r="B41" i="45"/>
  <c r="B40" i="45"/>
  <c r="C39" i="45"/>
  <c r="B39" i="45"/>
  <c r="C38" i="45"/>
  <c r="B38" i="45"/>
  <c r="C37" i="45"/>
  <c r="B37" i="45"/>
  <c r="D36" i="45"/>
  <c r="D45" i="45" s="1"/>
  <c r="C36" i="45"/>
  <c r="C45" i="45" s="1"/>
  <c r="B36" i="45"/>
  <c r="B35" i="45"/>
  <c r="D34" i="45"/>
  <c r="C34" i="45"/>
  <c r="B34" i="45"/>
  <c r="B33" i="45"/>
  <c r="B32" i="45"/>
  <c r="B31" i="45"/>
  <c r="B30" i="45"/>
  <c r="B29" i="45"/>
  <c r="B28" i="45"/>
  <c r="B27" i="45"/>
  <c r="D26" i="45"/>
  <c r="C26" i="45"/>
  <c r="B26" i="45"/>
  <c r="D25" i="45"/>
  <c r="D28" i="45" s="1"/>
  <c r="C25" i="45"/>
  <c r="C28" i="45" s="1"/>
  <c r="B25" i="45"/>
  <c r="D24" i="45"/>
  <c r="C24" i="45"/>
  <c r="B24" i="45"/>
  <c r="B23" i="45"/>
  <c r="J22" i="45"/>
  <c r="B22" i="45"/>
  <c r="B21" i="45"/>
  <c r="B20" i="45"/>
  <c r="B19" i="45"/>
  <c r="AJ18" i="45"/>
  <c r="AI18" i="45"/>
  <c r="AH18" i="45"/>
  <c r="AG18" i="45"/>
  <c r="AF18" i="45"/>
  <c r="AE18" i="45"/>
  <c r="AD18" i="45"/>
  <c r="AC18" i="45"/>
  <c r="AB18" i="45"/>
  <c r="AA18" i="45"/>
  <c r="Z18" i="45"/>
  <c r="Y18" i="45"/>
  <c r="X18" i="45"/>
  <c r="W18" i="45"/>
  <c r="V18" i="45"/>
  <c r="U18" i="45"/>
  <c r="T18" i="45"/>
  <c r="S18" i="45"/>
  <c r="R18" i="45"/>
  <c r="Q18" i="45"/>
  <c r="P18" i="45"/>
  <c r="O18" i="45"/>
  <c r="N18" i="45"/>
  <c r="M18" i="45"/>
  <c r="L18" i="45"/>
  <c r="K18" i="45"/>
  <c r="J18" i="45"/>
  <c r="I18" i="45"/>
  <c r="H18" i="45"/>
  <c r="G18" i="45"/>
  <c r="F18" i="45"/>
  <c r="E18" i="45"/>
  <c r="C104" i="45" s="1"/>
  <c r="B18" i="45"/>
  <c r="B17" i="45"/>
  <c r="B16" i="45"/>
  <c r="B15" i="45"/>
  <c r="B14" i="45"/>
  <c r="B13" i="45"/>
  <c r="B11" i="45"/>
  <c r="B10" i="45"/>
  <c r="B9" i="45"/>
  <c r="B8" i="45"/>
  <c r="B6" i="45"/>
  <c r="B5" i="45"/>
  <c r="B4" i="45"/>
  <c r="B3" i="45"/>
  <c r="B1" i="45"/>
  <c r="D142" i="53" l="1"/>
  <c r="D141" i="53"/>
  <c r="D152" i="53" s="1"/>
  <c r="C142" i="53"/>
  <c r="C141" i="53"/>
  <c r="C152" i="53" s="1"/>
  <c r="D66" i="53"/>
  <c r="D57" i="53"/>
  <c r="D69" i="53" s="1"/>
  <c r="D72" i="53"/>
  <c r="C66" i="53"/>
  <c r="C57" i="53"/>
  <c r="C69" i="53" s="1"/>
  <c r="C72" i="53"/>
  <c r="C116" i="53"/>
  <c r="C117" i="53" s="1"/>
  <c r="C118" i="53" s="1"/>
  <c r="C115" i="53"/>
  <c r="D143" i="53"/>
  <c r="C143" i="53"/>
  <c r="D98" i="53"/>
  <c r="C98" i="53"/>
  <c r="D118" i="53"/>
  <c r="D142" i="52"/>
  <c r="D141" i="52"/>
  <c r="D152" i="52" s="1"/>
  <c r="C142" i="52"/>
  <c r="C141" i="52"/>
  <c r="C152" i="52" s="1"/>
  <c r="D66" i="52"/>
  <c r="D57" i="52"/>
  <c r="D69" i="52" s="1"/>
  <c r="D72" i="52"/>
  <c r="C66" i="52"/>
  <c r="C57" i="52"/>
  <c r="C69" i="52" s="1"/>
  <c r="C72" i="52"/>
  <c r="D143" i="52"/>
  <c r="C143" i="52"/>
  <c r="C118" i="52"/>
  <c r="D98" i="52"/>
  <c r="C98" i="52"/>
  <c r="D118" i="52"/>
  <c r="D44" i="45"/>
  <c r="D53" i="45"/>
  <c r="D54" i="45" s="1"/>
  <c r="C94" i="45"/>
  <c r="C133" i="45"/>
  <c r="C105" i="45"/>
  <c r="D50" i="45"/>
  <c r="C50" i="45"/>
  <c r="D30" i="45"/>
  <c r="F22" i="45" s="1"/>
  <c r="D51" i="45"/>
  <c r="C106" i="45"/>
  <c r="C51" i="45"/>
  <c r="C53" i="45"/>
  <c r="C54" i="45" s="1"/>
  <c r="C44" i="45"/>
  <c r="D90" i="45"/>
  <c r="C27" i="45"/>
  <c r="D37" i="45"/>
  <c r="C100" i="45"/>
  <c r="D27" i="45"/>
  <c r="C91" i="45"/>
  <c r="D100" i="45"/>
  <c r="C132" i="45"/>
  <c r="C135" i="45"/>
  <c r="D132" i="45"/>
  <c r="D133" i="45" s="1"/>
  <c r="D135" i="45"/>
  <c r="D137" i="45" s="1"/>
  <c r="D91" i="45"/>
  <c r="D38" i="45"/>
  <c r="J22" i="43"/>
  <c r="D122" i="53"/>
  <c r="D75" i="53"/>
  <c r="C122" i="53"/>
  <c r="C75" i="53"/>
  <c r="D122" i="52"/>
  <c r="D75" i="52"/>
  <c r="C122" i="52"/>
  <c r="C75" i="52"/>
  <c r="C76" i="53" l="1"/>
  <c r="C77" i="53" s="1"/>
  <c r="D76" i="53"/>
  <c r="D77" i="53" s="1"/>
  <c r="C76" i="52"/>
  <c r="C77" i="52" s="1"/>
  <c r="D76" i="52"/>
  <c r="D77" i="52" s="1"/>
  <c r="C113" i="45"/>
  <c r="C114" i="45" s="1"/>
  <c r="D101" i="45"/>
  <c r="D102" i="45" s="1"/>
  <c r="D52" i="45"/>
  <c r="D95" i="45"/>
  <c r="D140" i="45" s="1"/>
  <c r="C136" i="45"/>
  <c r="C107" i="45"/>
  <c r="C110" i="45"/>
  <c r="C109" i="45"/>
  <c r="D60" i="45"/>
  <c r="D61" i="45" s="1"/>
  <c r="D39" i="45"/>
  <c r="C101" i="45"/>
  <c r="C102" i="45" s="1"/>
  <c r="C52" i="45"/>
  <c r="C95" i="45"/>
  <c r="C148" i="45" s="1"/>
  <c r="C30" i="45"/>
  <c r="D113" i="45"/>
  <c r="D114" i="45" s="1"/>
  <c r="C124" i="52"/>
  <c r="D124" i="52"/>
  <c r="C124" i="53"/>
  <c r="D124" i="53"/>
  <c r="D141" i="45" l="1"/>
  <c r="D152" i="45" s="1"/>
  <c r="D68" i="45"/>
  <c r="D65" i="45"/>
  <c r="D117" i="45"/>
  <c r="D116" i="45"/>
  <c r="D115" i="45"/>
  <c r="H22" i="45"/>
  <c r="E22" i="45"/>
  <c r="C60" i="45"/>
  <c r="C61" i="45" s="1"/>
  <c r="C96" i="45"/>
  <c r="C146" i="45"/>
  <c r="C147" i="45"/>
  <c r="C137" i="45"/>
  <c r="C115" i="45"/>
  <c r="C116" i="45"/>
  <c r="C117" i="45" s="1"/>
  <c r="C68" i="45"/>
  <c r="C67" i="45"/>
  <c r="C65" i="45"/>
  <c r="C140" i="45"/>
  <c r="D96" i="45"/>
  <c r="D148" i="45"/>
  <c r="D146" i="45"/>
  <c r="D147" i="45"/>
  <c r="C108" i="45"/>
  <c r="D128" i="45"/>
  <c r="C128" i="45"/>
  <c r="D127" i="45"/>
  <c r="D129" i="45" s="1"/>
  <c r="C127" i="45"/>
  <c r="D138" i="45"/>
  <c r="D139" i="45" s="1"/>
  <c r="D151" i="45" s="1"/>
  <c r="C66" i="45" l="1"/>
  <c r="C97" i="45"/>
  <c r="C143" i="45" s="1"/>
  <c r="D69" i="45"/>
  <c r="D71" i="45"/>
  <c r="D70" i="45"/>
  <c r="D63" i="45"/>
  <c r="D64" i="45" s="1"/>
  <c r="D97" i="45" s="1"/>
  <c r="C129" i="45"/>
  <c r="D67" i="45"/>
  <c r="D66" i="45" s="1"/>
  <c r="D99" i="45"/>
  <c r="D79" i="45" s="1"/>
  <c r="D153" i="45"/>
  <c r="D72" i="45"/>
  <c r="C142" i="45"/>
  <c r="C141" i="45"/>
  <c r="C152" i="45" s="1"/>
  <c r="C153" i="45"/>
  <c r="C138" i="45"/>
  <c r="C139" i="45" s="1"/>
  <c r="C151" i="45" s="1"/>
  <c r="C72" i="45"/>
  <c r="C69" i="45"/>
  <c r="C71" i="45"/>
  <c r="C70" i="45"/>
  <c r="C63" i="45"/>
  <c r="C64" i="45" s="1"/>
  <c r="D142" i="45"/>
  <c r="D75" i="45"/>
  <c r="C122" i="45"/>
  <c r="C75" i="45"/>
  <c r="D122" i="45"/>
  <c r="C76" i="45" l="1"/>
  <c r="C77" i="45" s="1"/>
  <c r="D76" i="45"/>
  <c r="D77" i="45" s="1"/>
  <c r="C99" i="45"/>
  <c r="C79" i="45" s="1"/>
  <c r="C98" i="45"/>
  <c r="D143" i="45"/>
  <c r="D118" i="45"/>
  <c r="D98" i="45"/>
  <c r="C118" i="45"/>
  <c r="D124" i="45"/>
  <c r="C124" i="45"/>
  <c r="B210" i="48" l="1"/>
  <c r="C209" i="48"/>
  <c r="B209" i="48"/>
  <c r="C208" i="48"/>
  <c r="C104" i="48" s="1"/>
  <c r="B208" i="48"/>
  <c r="C207" i="48"/>
  <c r="B207" i="48"/>
  <c r="B206" i="48"/>
  <c r="B205" i="48"/>
  <c r="C204" i="48"/>
  <c r="B204" i="48"/>
  <c r="C203" i="48"/>
  <c r="B203" i="48"/>
  <c r="C202" i="48"/>
  <c r="B202" i="48"/>
  <c r="C201" i="48"/>
  <c r="B201" i="48"/>
  <c r="C200" i="48"/>
  <c r="B200" i="48"/>
  <c r="C199" i="48"/>
  <c r="B199" i="48"/>
  <c r="C198" i="48"/>
  <c r="B198" i="48"/>
  <c r="C197" i="48"/>
  <c r="B197" i="48"/>
  <c r="C196" i="48"/>
  <c r="B196" i="48"/>
  <c r="C195" i="48"/>
  <c r="B195" i="48"/>
  <c r="C194" i="48"/>
  <c r="B194" i="48"/>
  <c r="C193" i="48"/>
  <c r="B193" i="48"/>
  <c r="C192" i="48"/>
  <c r="B192" i="48"/>
  <c r="C191" i="48"/>
  <c r="B191" i="48"/>
  <c r="C190" i="48"/>
  <c r="B190" i="48"/>
  <c r="B189" i="48"/>
  <c r="C188" i="48"/>
  <c r="B188" i="48"/>
  <c r="C187" i="48"/>
  <c r="B187" i="48"/>
  <c r="C186" i="48"/>
  <c r="B186" i="48"/>
  <c r="C185" i="48"/>
  <c r="B185" i="48"/>
  <c r="C184" i="48"/>
  <c r="B184" i="48"/>
  <c r="C183" i="48"/>
  <c r="B183" i="48"/>
  <c r="C182" i="48"/>
  <c r="B182" i="48"/>
  <c r="C181" i="48"/>
  <c r="B181" i="48"/>
  <c r="C180" i="48"/>
  <c r="B180" i="48"/>
  <c r="C179" i="48"/>
  <c r="B179" i="48"/>
  <c r="C178" i="48"/>
  <c r="B178" i="48"/>
  <c r="C177" i="48"/>
  <c r="B177" i="48"/>
  <c r="C176" i="48"/>
  <c r="B176" i="48"/>
  <c r="C175" i="48"/>
  <c r="B175" i="48"/>
  <c r="C174" i="48"/>
  <c r="B174" i="48"/>
  <c r="C173" i="48"/>
  <c r="B173" i="48"/>
  <c r="B172" i="48"/>
  <c r="C171" i="48"/>
  <c r="B171" i="48"/>
  <c r="C170" i="48"/>
  <c r="B170" i="48"/>
  <c r="C169" i="48"/>
  <c r="B169" i="48"/>
  <c r="B168" i="48"/>
  <c r="B167" i="48"/>
  <c r="C166" i="48"/>
  <c r="B166" i="48"/>
  <c r="C165" i="48"/>
  <c r="B165" i="48"/>
  <c r="C164" i="48"/>
  <c r="B164" i="48"/>
  <c r="C163" i="48"/>
  <c r="B163" i="48"/>
  <c r="C162" i="48"/>
  <c r="B162" i="48"/>
  <c r="C161" i="48"/>
  <c r="B161" i="48"/>
  <c r="C160" i="48"/>
  <c r="B160" i="48"/>
  <c r="C159" i="48"/>
  <c r="B159" i="48"/>
  <c r="C158" i="48"/>
  <c r="B158" i="48"/>
  <c r="C157" i="48"/>
  <c r="B157" i="48"/>
  <c r="C156" i="48"/>
  <c r="B156" i="48"/>
  <c r="C155" i="48"/>
  <c r="B155" i="48"/>
  <c r="B153" i="48"/>
  <c r="B152" i="48"/>
  <c r="B151" i="48"/>
  <c r="B150" i="48"/>
  <c r="B148" i="48"/>
  <c r="B147" i="48"/>
  <c r="B146" i="48"/>
  <c r="B145" i="48"/>
  <c r="B143" i="48"/>
  <c r="B142" i="48"/>
  <c r="B141" i="48"/>
  <c r="B140" i="48"/>
  <c r="B139" i="48"/>
  <c r="B138" i="48"/>
  <c r="B137" i="48"/>
  <c r="B136" i="48"/>
  <c r="B135" i="48"/>
  <c r="B134" i="48"/>
  <c r="B133" i="48"/>
  <c r="B132" i="48"/>
  <c r="B131" i="48"/>
  <c r="B129" i="48"/>
  <c r="B128" i="48"/>
  <c r="B127" i="48"/>
  <c r="B126" i="48"/>
  <c r="B124" i="48"/>
  <c r="B123" i="48"/>
  <c r="B122" i="48"/>
  <c r="B121" i="48"/>
  <c r="B120" i="48"/>
  <c r="B118" i="48"/>
  <c r="B117" i="48"/>
  <c r="B116" i="48"/>
  <c r="B115" i="48"/>
  <c r="B114" i="48"/>
  <c r="B113" i="48"/>
  <c r="D112" i="48"/>
  <c r="C112" i="48"/>
  <c r="B112" i="48"/>
  <c r="B110" i="48"/>
  <c r="B109" i="48"/>
  <c r="B108" i="48"/>
  <c r="B107" i="48"/>
  <c r="B106" i="48"/>
  <c r="B105" i="48"/>
  <c r="B104" i="48"/>
  <c r="B102" i="48"/>
  <c r="B101" i="48"/>
  <c r="B100" i="48"/>
  <c r="B99" i="48"/>
  <c r="B98" i="48"/>
  <c r="B97" i="48"/>
  <c r="B96" i="48"/>
  <c r="B95" i="48"/>
  <c r="B94" i="48"/>
  <c r="B93" i="48"/>
  <c r="B92" i="48"/>
  <c r="B91" i="48"/>
  <c r="B90" i="48"/>
  <c r="D89" i="48"/>
  <c r="C89" i="48"/>
  <c r="B89" i="48"/>
  <c r="B88" i="48"/>
  <c r="D87" i="48"/>
  <c r="D93" i="48" s="1"/>
  <c r="C87" i="48"/>
  <c r="B87" i="48"/>
  <c r="D86" i="48"/>
  <c r="D92" i="48" s="1"/>
  <c r="C86" i="48"/>
  <c r="C92" i="48" s="1"/>
  <c r="B86" i="48"/>
  <c r="D85" i="48"/>
  <c r="C85" i="48"/>
  <c r="C93" i="48" s="1"/>
  <c r="B85" i="48"/>
  <c r="D84" i="48"/>
  <c r="C84" i="48"/>
  <c r="B84" i="48"/>
  <c r="D83" i="48"/>
  <c r="C83" i="48"/>
  <c r="B83" i="48"/>
  <c r="D82" i="48"/>
  <c r="C82" i="48"/>
  <c r="B82" i="48"/>
  <c r="B81" i="48"/>
  <c r="B80" i="48"/>
  <c r="B79" i="48"/>
  <c r="B78" i="48"/>
  <c r="B77" i="48"/>
  <c r="B76" i="48"/>
  <c r="B75" i="48"/>
  <c r="B74" i="48"/>
  <c r="B73" i="48"/>
  <c r="B72" i="48"/>
  <c r="B71" i="48"/>
  <c r="B70" i="48"/>
  <c r="B69" i="48"/>
  <c r="B68" i="48"/>
  <c r="B67" i="48"/>
  <c r="B66" i="48"/>
  <c r="B65" i="48"/>
  <c r="B64" i="48"/>
  <c r="B63" i="48"/>
  <c r="B62" i="48"/>
  <c r="B61" i="48"/>
  <c r="B60" i="48"/>
  <c r="B59" i="48"/>
  <c r="B58" i="48"/>
  <c r="B57" i="48"/>
  <c r="B56" i="48"/>
  <c r="D55" i="48"/>
  <c r="C55" i="48"/>
  <c r="B55" i="48"/>
  <c r="B54" i="48"/>
  <c r="B53" i="48"/>
  <c r="B52" i="48"/>
  <c r="B51" i="48"/>
  <c r="B50" i="48"/>
  <c r="B49" i="48"/>
  <c r="B48" i="48"/>
  <c r="B47" i="48"/>
  <c r="B46" i="48"/>
  <c r="B45" i="48"/>
  <c r="B44" i="48"/>
  <c r="B43" i="48"/>
  <c r="B42" i="48"/>
  <c r="B41" i="48"/>
  <c r="B40" i="48"/>
  <c r="B39" i="48"/>
  <c r="B38" i="48"/>
  <c r="D37" i="48"/>
  <c r="B37" i="48"/>
  <c r="D36" i="48"/>
  <c r="D45" i="48" s="1"/>
  <c r="C36" i="48"/>
  <c r="C45" i="48" s="1"/>
  <c r="B36" i="48"/>
  <c r="B35" i="48"/>
  <c r="D34" i="48"/>
  <c r="C34" i="48"/>
  <c r="B34" i="48"/>
  <c r="B33" i="48"/>
  <c r="B32" i="48"/>
  <c r="B31" i="48"/>
  <c r="B30" i="48"/>
  <c r="B29" i="48"/>
  <c r="B28" i="48"/>
  <c r="C27" i="48"/>
  <c r="B27" i="48"/>
  <c r="D26" i="48"/>
  <c r="C26" i="48"/>
  <c r="B26" i="48"/>
  <c r="D25" i="48"/>
  <c r="D28" i="48" s="1"/>
  <c r="C25" i="48"/>
  <c r="C28" i="48" s="1"/>
  <c r="B25" i="48"/>
  <c r="D24" i="48"/>
  <c r="C24" i="48"/>
  <c r="B24" i="48"/>
  <c r="B23" i="48"/>
  <c r="B22" i="48"/>
  <c r="B21" i="48"/>
  <c r="B20" i="48"/>
  <c r="B19" i="48"/>
  <c r="AJ18" i="48"/>
  <c r="AI18" i="48"/>
  <c r="AH18" i="48"/>
  <c r="AG18" i="48"/>
  <c r="AF18" i="48"/>
  <c r="AE18" i="48"/>
  <c r="AD18" i="48"/>
  <c r="AC18" i="48"/>
  <c r="AB18" i="48"/>
  <c r="AA18" i="48"/>
  <c r="Z18" i="48"/>
  <c r="Y18" i="48"/>
  <c r="X18" i="48"/>
  <c r="W18" i="48"/>
  <c r="V18" i="48"/>
  <c r="U18" i="48"/>
  <c r="T18" i="48"/>
  <c r="S18" i="48"/>
  <c r="R18" i="48"/>
  <c r="Q18" i="48"/>
  <c r="P18" i="48"/>
  <c r="O18" i="48"/>
  <c r="N18" i="48"/>
  <c r="M18" i="48"/>
  <c r="L18" i="48"/>
  <c r="K18" i="48"/>
  <c r="J18" i="48"/>
  <c r="I18" i="48"/>
  <c r="H18" i="48"/>
  <c r="G18" i="48"/>
  <c r="F18" i="48"/>
  <c r="E18" i="48"/>
  <c r="B18" i="48"/>
  <c r="B17" i="48"/>
  <c r="B16" i="48"/>
  <c r="B15" i="48"/>
  <c r="B14" i="48"/>
  <c r="B13" i="48"/>
  <c r="B11" i="48"/>
  <c r="B10" i="48"/>
  <c r="B9" i="48"/>
  <c r="B8" i="48"/>
  <c r="B6" i="48"/>
  <c r="B5" i="48"/>
  <c r="B4" i="48"/>
  <c r="B3" i="48"/>
  <c r="B1" i="48"/>
  <c r="D112" i="47"/>
  <c r="D113" i="47"/>
  <c r="C37" i="48" l="1"/>
  <c r="C43" i="48"/>
  <c r="C44" i="48" s="1"/>
  <c r="C38" i="48"/>
  <c r="C39" i="48" s="1"/>
  <c r="D53" i="48"/>
  <c r="D54" i="48" s="1"/>
  <c r="C105" i="48"/>
  <c r="C100" i="48"/>
  <c r="C106" i="48"/>
  <c r="C51" i="48"/>
  <c r="C30" i="48" s="1"/>
  <c r="C60" i="48" s="1"/>
  <c r="D51" i="48"/>
  <c r="D30" i="48" s="1"/>
  <c r="C53" i="48"/>
  <c r="C54" i="48" s="1"/>
  <c r="C94" i="48"/>
  <c r="D94" i="48"/>
  <c r="D43" i="48"/>
  <c r="D27" i="48"/>
  <c r="D100" i="48"/>
  <c r="C132" i="48"/>
  <c r="D132" i="48"/>
  <c r="D38" i="48"/>
  <c r="D39" i="48" l="1"/>
  <c r="D60" i="48"/>
  <c r="D101" i="48"/>
  <c r="D102" i="48" s="1"/>
  <c r="D95" i="48"/>
  <c r="D148" i="48" s="1"/>
  <c r="D52" i="48"/>
  <c r="C101" i="48"/>
  <c r="C102" i="48" s="1"/>
  <c r="C52" i="48"/>
  <c r="C95" i="48"/>
  <c r="C113" i="48"/>
  <c r="D44" i="48"/>
  <c r="C109" i="48"/>
  <c r="C110" i="48"/>
  <c r="D113" i="48" l="1"/>
  <c r="C96" i="48"/>
  <c r="C146" i="48"/>
  <c r="C147" i="48"/>
  <c r="C68" i="48"/>
  <c r="C148" i="48"/>
  <c r="D68" i="48"/>
  <c r="D96" i="48"/>
  <c r="D147" i="48"/>
  <c r="D146" i="48"/>
  <c r="D75" i="48"/>
  <c r="C75" i="48"/>
  <c r="C76" i="48" l="1"/>
  <c r="C77" i="48" s="1"/>
  <c r="D76" i="48"/>
  <c r="D77" i="48" s="1"/>
  <c r="D122" i="48"/>
  <c r="C122" i="48"/>
  <c r="E18" i="43" l="1"/>
  <c r="F18" i="43"/>
  <c r="G18" i="43"/>
  <c r="H18" i="43"/>
  <c r="I18" i="43"/>
  <c r="J18" i="43"/>
  <c r="K18" i="43"/>
  <c r="W18" i="43"/>
  <c r="X18" i="43"/>
  <c r="Y18" i="43"/>
  <c r="Z18" i="43"/>
  <c r="AA18" i="43"/>
  <c r="AB18" i="43"/>
  <c r="AC18" i="43"/>
  <c r="AD18" i="43"/>
  <c r="AE18" i="43"/>
  <c r="AF18" i="43"/>
  <c r="AG18" i="43"/>
  <c r="AH18" i="43"/>
  <c r="AI18" i="43"/>
  <c r="AJ18" i="43"/>
  <c r="C124" i="48"/>
  <c r="D124" i="48"/>
  <c r="B210" i="43" l="1"/>
  <c r="C209" i="43"/>
  <c r="B209" i="43"/>
  <c r="C208" i="43"/>
  <c r="B208" i="43"/>
  <c r="C207" i="43"/>
  <c r="B207" i="43"/>
  <c r="B206" i="43"/>
  <c r="B205" i="43"/>
  <c r="C204" i="43"/>
  <c r="B204" i="43"/>
  <c r="C203" i="43"/>
  <c r="B203" i="43"/>
  <c r="C202" i="43"/>
  <c r="B202" i="43"/>
  <c r="C201" i="43"/>
  <c r="B201" i="43"/>
  <c r="C200" i="43"/>
  <c r="B200" i="43"/>
  <c r="C199" i="43"/>
  <c r="B199" i="43"/>
  <c r="C198" i="43"/>
  <c r="B198" i="43"/>
  <c r="C197" i="43"/>
  <c r="B197" i="43"/>
  <c r="C196" i="43"/>
  <c r="B196" i="43"/>
  <c r="C195" i="43"/>
  <c r="B195" i="43"/>
  <c r="C194" i="43"/>
  <c r="B194" i="43"/>
  <c r="C193" i="43"/>
  <c r="B193" i="43"/>
  <c r="C192" i="43"/>
  <c r="B192" i="43"/>
  <c r="C191" i="43"/>
  <c r="B191" i="43"/>
  <c r="C190" i="43"/>
  <c r="B190" i="43"/>
  <c r="B189" i="43"/>
  <c r="C188" i="43"/>
  <c r="B188" i="43"/>
  <c r="C187" i="43"/>
  <c r="B187" i="43"/>
  <c r="C186" i="43"/>
  <c r="B186" i="43"/>
  <c r="C185" i="43"/>
  <c r="B185" i="43"/>
  <c r="C184" i="43"/>
  <c r="B184" i="43"/>
  <c r="C183" i="43"/>
  <c r="B183" i="43"/>
  <c r="C182" i="43"/>
  <c r="B182" i="43"/>
  <c r="C181" i="43"/>
  <c r="B181" i="43"/>
  <c r="C180" i="43"/>
  <c r="B180" i="43"/>
  <c r="C179" i="43"/>
  <c r="B179" i="43"/>
  <c r="C178" i="43"/>
  <c r="B178" i="43"/>
  <c r="C177" i="43"/>
  <c r="B177" i="43"/>
  <c r="C176" i="43"/>
  <c r="B176" i="43"/>
  <c r="C175" i="43"/>
  <c r="B175" i="43"/>
  <c r="C174" i="43"/>
  <c r="B174" i="43"/>
  <c r="C173" i="43"/>
  <c r="B173" i="43"/>
  <c r="B172" i="43"/>
  <c r="C171" i="43"/>
  <c r="B171" i="43"/>
  <c r="C170" i="43"/>
  <c r="B170" i="43"/>
  <c r="C169" i="43"/>
  <c r="B169" i="43"/>
  <c r="B168" i="43"/>
  <c r="B167" i="43"/>
  <c r="C166" i="43"/>
  <c r="B166" i="43"/>
  <c r="C165" i="43"/>
  <c r="B165" i="43"/>
  <c r="C164" i="43"/>
  <c r="B164" i="43"/>
  <c r="C163" i="43"/>
  <c r="B163" i="43"/>
  <c r="C162" i="43"/>
  <c r="B162" i="43"/>
  <c r="C161" i="43"/>
  <c r="B161" i="43"/>
  <c r="C160" i="43"/>
  <c r="B160" i="43"/>
  <c r="C159" i="43"/>
  <c r="B159" i="43"/>
  <c r="C158" i="43"/>
  <c r="B158" i="43"/>
  <c r="C157" i="43"/>
  <c r="B157" i="43"/>
  <c r="C156" i="43"/>
  <c r="B156" i="43"/>
  <c r="C155" i="43"/>
  <c r="B155" i="43"/>
  <c r="B153" i="43"/>
  <c r="B152" i="43"/>
  <c r="B151" i="43"/>
  <c r="B150" i="43"/>
  <c r="B148" i="43"/>
  <c r="B147" i="43"/>
  <c r="B146" i="43"/>
  <c r="B145" i="43"/>
  <c r="B143" i="43"/>
  <c r="B142" i="43"/>
  <c r="B141" i="43"/>
  <c r="B140" i="43"/>
  <c r="B139" i="43"/>
  <c r="B138" i="43"/>
  <c r="B137" i="43"/>
  <c r="B136" i="43"/>
  <c r="B135" i="43"/>
  <c r="B134" i="43"/>
  <c r="B133" i="43"/>
  <c r="B132" i="43"/>
  <c r="B131" i="43"/>
  <c r="B129" i="43"/>
  <c r="B128" i="43"/>
  <c r="B127" i="43"/>
  <c r="B126" i="43"/>
  <c r="B124" i="43"/>
  <c r="B123" i="43"/>
  <c r="B122" i="43"/>
  <c r="B121" i="43"/>
  <c r="B120" i="43"/>
  <c r="B118" i="43"/>
  <c r="B117" i="43"/>
  <c r="B116" i="43"/>
  <c r="B115" i="43"/>
  <c r="B114" i="43"/>
  <c r="B113" i="43"/>
  <c r="C112" i="43"/>
  <c r="B112" i="43"/>
  <c r="B110" i="43"/>
  <c r="B109" i="43"/>
  <c r="B108" i="43"/>
  <c r="B107" i="43"/>
  <c r="B106" i="43"/>
  <c r="B105" i="43"/>
  <c r="B104" i="43"/>
  <c r="B102" i="43"/>
  <c r="B101" i="43"/>
  <c r="B100" i="43"/>
  <c r="B99" i="43"/>
  <c r="B98" i="43"/>
  <c r="B97" i="43"/>
  <c r="B96" i="43"/>
  <c r="B95" i="43"/>
  <c r="B94" i="43"/>
  <c r="B93" i="43"/>
  <c r="B92" i="43"/>
  <c r="B91" i="43"/>
  <c r="B90" i="43"/>
  <c r="D89" i="43"/>
  <c r="C89" i="43"/>
  <c r="B89" i="43"/>
  <c r="B88" i="43"/>
  <c r="D87" i="43"/>
  <c r="D93" i="43" s="1"/>
  <c r="C87" i="43"/>
  <c r="C93" i="43" s="1"/>
  <c r="B87" i="43"/>
  <c r="D86" i="43"/>
  <c r="D92" i="43" s="1"/>
  <c r="C86" i="43"/>
  <c r="C92" i="43" s="1"/>
  <c r="B86" i="43"/>
  <c r="D85" i="43"/>
  <c r="C85" i="43"/>
  <c r="B85" i="43"/>
  <c r="D84" i="43"/>
  <c r="C84" i="43"/>
  <c r="B84" i="43"/>
  <c r="D83" i="43"/>
  <c r="C83" i="43"/>
  <c r="B83" i="43"/>
  <c r="D82" i="43"/>
  <c r="C82" i="43"/>
  <c r="B82" i="43"/>
  <c r="B81" i="43"/>
  <c r="B80" i="43"/>
  <c r="B79" i="43"/>
  <c r="B78" i="43"/>
  <c r="B77" i="43"/>
  <c r="B76" i="43"/>
  <c r="B75" i="43"/>
  <c r="B74" i="43"/>
  <c r="B73" i="43"/>
  <c r="B72" i="43"/>
  <c r="B71" i="43"/>
  <c r="B70" i="43"/>
  <c r="B69" i="43"/>
  <c r="B68" i="43"/>
  <c r="B67" i="43"/>
  <c r="B66" i="43"/>
  <c r="B65" i="43"/>
  <c r="B64" i="43"/>
  <c r="B63" i="43"/>
  <c r="B62" i="43"/>
  <c r="B61" i="43"/>
  <c r="B60" i="43"/>
  <c r="B59" i="43"/>
  <c r="B58" i="43"/>
  <c r="B57" i="43"/>
  <c r="B56" i="43"/>
  <c r="D55" i="43"/>
  <c r="C55" i="43"/>
  <c r="B55" i="43"/>
  <c r="B54" i="43"/>
  <c r="B53" i="43"/>
  <c r="B52" i="43"/>
  <c r="B51" i="43"/>
  <c r="B50" i="43"/>
  <c r="B49" i="43"/>
  <c r="B48" i="43"/>
  <c r="B47" i="43"/>
  <c r="B46" i="43"/>
  <c r="B45" i="43"/>
  <c r="B44" i="43"/>
  <c r="B43" i="43"/>
  <c r="B42" i="43"/>
  <c r="B41" i="43"/>
  <c r="B40" i="43"/>
  <c r="B39" i="43"/>
  <c r="C38" i="43"/>
  <c r="C39" i="43" s="1"/>
  <c r="B38" i="43"/>
  <c r="B37" i="43"/>
  <c r="D36" i="43"/>
  <c r="D45" i="43" s="1"/>
  <c r="C36" i="43"/>
  <c r="C43" i="43" s="1"/>
  <c r="B36" i="43"/>
  <c r="B35" i="43"/>
  <c r="D34" i="43"/>
  <c r="C34" i="43"/>
  <c r="B34" i="43"/>
  <c r="B33" i="43"/>
  <c r="B32" i="43"/>
  <c r="B31" i="43"/>
  <c r="B30" i="43"/>
  <c r="B29" i="43"/>
  <c r="B28" i="43"/>
  <c r="B27" i="43"/>
  <c r="D26" i="43"/>
  <c r="C26" i="43"/>
  <c r="B26" i="43"/>
  <c r="D25" i="43"/>
  <c r="D28" i="43" s="1"/>
  <c r="C25" i="43"/>
  <c r="B25" i="43"/>
  <c r="D24" i="43"/>
  <c r="C24" i="43"/>
  <c r="B24" i="43"/>
  <c r="B23" i="43"/>
  <c r="B22" i="43"/>
  <c r="B21" i="43"/>
  <c r="B20" i="43"/>
  <c r="B19" i="43"/>
  <c r="C104" i="43"/>
  <c r="B18" i="43"/>
  <c r="B17" i="43"/>
  <c r="B16" i="43"/>
  <c r="B15" i="43"/>
  <c r="B14" i="43"/>
  <c r="B13" i="43"/>
  <c r="B11" i="43"/>
  <c r="B10" i="43"/>
  <c r="B9" i="43"/>
  <c r="B8" i="43"/>
  <c r="B6" i="43"/>
  <c r="B5" i="43"/>
  <c r="B4" i="43"/>
  <c r="B3" i="43"/>
  <c r="B1" i="43"/>
  <c r="C112" i="47"/>
  <c r="C112" i="1"/>
  <c r="C113" i="1"/>
  <c r="D112" i="1"/>
  <c r="D113" i="1"/>
  <c r="K18" i="1"/>
  <c r="L18" i="1"/>
  <c r="M18" i="1"/>
  <c r="N18" i="1"/>
  <c r="O18" i="1"/>
  <c r="P18" i="1"/>
  <c r="Q18" i="1"/>
  <c r="R18" i="1"/>
  <c r="S18" i="1"/>
  <c r="T18" i="1"/>
  <c r="U18" i="1"/>
  <c r="D38" i="43" l="1"/>
  <c r="D39" i="43" s="1"/>
  <c r="C37" i="43"/>
  <c r="C28" i="43"/>
  <c r="D53" i="43"/>
  <c r="D54" i="43" s="1"/>
  <c r="C105" i="43"/>
  <c r="C51" i="43"/>
  <c r="D51" i="43"/>
  <c r="D30" i="43" s="1"/>
  <c r="C106" i="43"/>
  <c r="C94" i="43"/>
  <c r="D94" i="43"/>
  <c r="D43" i="43"/>
  <c r="C27" i="43"/>
  <c r="D37" i="43"/>
  <c r="C100" i="43"/>
  <c r="D27" i="43"/>
  <c r="D100" i="43"/>
  <c r="C132" i="43"/>
  <c r="D132" i="43"/>
  <c r="C45" i="43"/>
  <c r="T18" i="44"/>
  <c r="Q18" i="44"/>
  <c r="R18" i="44"/>
  <c r="S18" i="44"/>
  <c r="B210" i="44"/>
  <c r="C209" i="44"/>
  <c r="B209" i="44"/>
  <c r="C208" i="44"/>
  <c r="B208" i="44"/>
  <c r="C207" i="44"/>
  <c r="B207" i="44"/>
  <c r="B206" i="44"/>
  <c r="B205" i="44"/>
  <c r="C204" i="44"/>
  <c r="B204" i="44"/>
  <c r="C203" i="44"/>
  <c r="B203" i="44"/>
  <c r="C202" i="44"/>
  <c r="B202" i="44"/>
  <c r="C201" i="44"/>
  <c r="B201" i="44"/>
  <c r="C200" i="44"/>
  <c r="B200" i="44"/>
  <c r="C199" i="44"/>
  <c r="B199" i="44"/>
  <c r="C198" i="44"/>
  <c r="B198" i="44"/>
  <c r="C197" i="44"/>
  <c r="B197" i="44"/>
  <c r="C196" i="44"/>
  <c r="B196" i="44"/>
  <c r="C195" i="44"/>
  <c r="B195" i="44"/>
  <c r="C194" i="44"/>
  <c r="B194" i="44"/>
  <c r="C193" i="44"/>
  <c r="B193" i="44"/>
  <c r="C192" i="44"/>
  <c r="B192" i="44"/>
  <c r="C191" i="44"/>
  <c r="B191" i="44"/>
  <c r="C190" i="44"/>
  <c r="B190" i="44"/>
  <c r="B189" i="44"/>
  <c r="C188" i="44"/>
  <c r="B188" i="44"/>
  <c r="C187" i="44"/>
  <c r="B187" i="44"/>
  <c r="C186" i="44"/>
  <c r="B186" i="44"/>
  <c r="C185" i="44"/>
  <c r="B185" i="44"/>
  <c r="C184" i="44"/>
  <c r="B184" i="44"/>
  <c r="C183" i="44"/>
  <c r="B183" i="44"/>
  <c r="C182" i="44"/>
  <c r="B182" i="44"/>
  <c r="C181" i="44"/>
  <c r="B181" i="44"/>
  <c r="C180" i="44"/>
  <c r="B180" i="44"/>
  <c r="C179" i="44"/>
  <c r="B179" i="44"/>
  <c r="C178" i="44"/>
  <c r="B178" i="44"/>
  <c r="C177" i="44"/>
  <c r="B177" i="44"/>
  <c r="C176" i="44"/>
  <c r="B176" i="44"/>
  <c r="C175" i="44"/>
  <c r="B175" i="44"/>
  <c r="C174" i="44"/>
  <c r="B174" i="44"/>
  <c r="C173" i="44"/>
  <c r="B173" i="44"/>
  <c r="B172" i="44"/>
  <c r="C171" i="44"/>
  <c r="D92" i="44" s="1"/>
  <c r="B171" i="44"/>
  <c r="C170" i="44"/>
  <c r="B170" i="44"/>
  <c r="C169" i="44"/>
  <c r="B169" i="44"/>
  <c r="B168" i="44"/>
  <c r="B167" i="44"/>
  <c r="C166" i="44"/>
  <c r="B166" i="44"/>
  <c r="C165" i="44"/>
  <c r="B165" i="44"/>
  <c r="C164" i="44"/>
  <c r="B164" i="44"/>
  <c r="C163" i="44"/>
  <c r="B163" i="44"/>
  <c r="C162" i="44"/>
  <c r="B162" i="44"/>
  <c r="C161" i="44"/>
  <c r="B161" i="44"/>
  <c r="C160" i="44"/>
  <c r="B160" i="44"/>
  <c r="C159" i="44"/>
  <c r="B159" i="44"/>
  <c r="C158" i="44"/>
  <c r="B158" i="44"/>
  <c r="C157" i="44"/>
  <c r="B157" i="44"/>
  <c r="C156" i="44"/>
  <c r="B156" i="44"/>
  <c r="C155" i="44"/>
  <c r="B155" i="44"/>
  <c r="B153" i="44"/>
  <c r="B152" i="44"/>
  <c r="B151" i="44"/>
  <c r="B150" i="44"/>
  <c r="B148" i="44"/>
  <c r="B147" i="44"/>
  <c r="B146" i="44"/>
  <c r="B145" i="44"/>
  <c r="B143" i="44"/>
  <c r="B142" i="44"/>
  <c r="B141" i="44"/>
  <c r="B140" i="44"/>
  <c r="B139" i="44"/>
  <c r="B138" i="44"/>
  <c r="B137" i="44"/>
  <c r="B136" i="44"/>
  <c r="B135" i="44"/>
  <c r="B134" i="44"/>
  <c r="B133" i="44"/>
  <c r="B132" i="44"/>
  <c r="B131" i="44"/>
  <c r="B129" i="44"/>
  <c r="B128" i="44"/>
  <c r="B127" i="44"/>
  <c r="B126" i="44"/>
  <c r="B124" i="44"/>
  <c r="B123" i="44"/>
  <c r="B122" i="44"/>
  <c r="B121" i="44"/>
  <c r="B120" i="44"/>
  <c r="B118" i="44"/>
  <c r="B117" i="44"/>
  <c r="B116" i="44"/>
  <c r="B115" i="44"/>
  <c r="B114" i="44"/>
  <c r="B113" i="44"/>
  <c r="B112" i="44"/>
  <c r="B110" i="44"/>
  <c r="B109" i="44"/>
  <c r="B108" i="44"/>
  <c r="B107" i="44"/>
  <c r="B106" i="44"/>
  <c r="B105" i="44"/>
  <c r="B104" i="44"/>
  <c r="B102" i="44"/>
  <c r="B101" i="44"/>
  <c r="B100" i="44"/>
  <c r="B99" i="44"/>
  <c r="B98" i="44"/>
  <c r="B97" i="44"/>
  <c r="B96" i="44"/>
  <c r="B95" i="44"/>
  <c r="B94" i="44"/>
  <c r="B93" i="44"/>
  <c r="B92" i="44"/>
  <c r="B91" i="44"/>
  <c r="B90" i="44"/>
  <c r="D89" i="44"/>
  <c r="C89" i="44"/>
  <c r="B89" i="44"/>
  <c r="B88" i="44"/>
  <c r="D87" i="44"/>
  <c r="D93" i="44" s="1"/>
  <c r="C87" i="44"/>
  <c r="C93" i="44" s="1"/>
  <c r="B87" i="44"/>
  <c r="D86" i="44"/>
  <c r="C86" i="44"/>
  <c r="C92" i="44" s="1"/>
  <c r="B86" i="44"/>
  <c r="D85" i="44"/>
  <c r="C85" i="44"/>
  <c r="B85" i="44"/>
  <c r="D84" i="44"/>
  <c r="C84" i="44"/>
  <c r="B84" i="44"/>
  <c r="D83" i="44"/>
  <c r="C83" i="44"/>
  <c r="B83" i="44"/>
  <c r="D82" i="44"/>
  <c r="C82" i="44"/>
  <c r="B82" i="44"/>
  <c r="B81" i="44"/>
  <c r="B80" i="44"/>
  <c r="B79" i="44"/>
  <c r="B78" i="44"/>
  <c r="B77" i="44"/>
  <c r="B76" i="44"/>
  <c r="B75" i="44"/>
  <c r="B74" i="44"/>
  <c r="B73" i="44"/>
  <c r="B72" i="44"/>
  <c r="B71" i="44"/>
  <c r="B70" i="44"/>
  <c r="B69" i="44"/>
  <c r="B68" i="44"/>
  <c r="B67" i="44"/>
  <c r="B66" i="44"/>
  <c r="B65" i="44"/>
  <c r="B64" i="44"/>
  <c r="B63" i="44"/>
  <c r="B62" i="44"/>
  <c r="B61" i="44"/>
  <c r="B60" i="44"/>
  <c r="B59" i="44"/>
  <c r="B58" i="44"/>
  <c r="B57" i="44"/>
  <c r="B56" i="44"/>
  <c r="D55" i="44"/>
  <c r="C55" i="44"/>
  <c r="B55" i="44"/>
  <c r="B54" i="44"/>
  <c r="B53" i="44"/>
  <c r="B52" i="44"/>
  <c r="B51" i="44"/>
  <c r="B50" i="44"/>
  <c r="B49" i="44"/>
  <c r="B48" i="44"/>
  <c r="B47" i="44"/>
  <c r="B46" i="44"/>
  <c r="B45" i="44"/>
  <c r="B44" i="44"/>
  <c r="D43" i="44"/>
  <c r="B43" i="44"/>
  <c r="B42" i="44"/>
  <c r="B41" i="44"/>
  <c r="B40" i="44"/>
  <c r="B39" i="44"/>
  <c r="C38" i="44"/>
  <c r="B38" i="44"/>
  <c r="C37" i="44"/>
  <c r="B37" i="44"/>
  <c r="D36" i="44"/>
  <c r="C36" i="44"/>
  <c r="B36" i="44"/>
  <c r="B35" i="44"/>
  <c r="D34" i="44"/>
  <c r="C34" i="44"/>
  <c r="B34" i="44"/>
  <c r="B33" i="44"/>
  <c r="B32" i="44"/>
  <c r="B31" i="44"/>
  <c r="B30" i="44"/>
  <c r="B29" i="44"/>
  <c r="B28" i="44"/>
  <c r="B27" i="44"/>
  <c r="D26" i="44"/>
  <c r="C26" i="44"/>
  <c r="B26" i="44"/>
  <c r="D25" i="44"/>
  <c r="D27" i="44" s="1"/>
  <c r="C25" i="44"/>
  <c r="C27" i="44" s="1"/>
  <c r="B25" i="44"/>
  <c r="D24" i="44"/>
  <c r="C24" i="44"/>
  <c r="B24" i="44"/>
  <c r="B23" i="44"/>
  <c r="B22" i="44"/>
  <c r="B21" i="44"/>
  <c r="B20" i="44"/>
  <c r="B19" i="44"/>
  <c r="AJ18" i="44"/>
  <c r="AI18" i="44"/>
  <c r="AH18" i="44"/>
  <c r="AG18" i="44"/>
  <c r="AF18" i="44"/>
  <c r="AE18" i="44"/>
  <c r="AD18" i="44"/>
  <c r="AC18" i="44"/>
  <c r="AB18" i="44"/>
  <c r="AA18" i="44"/>
  <c r="Z18" i="44"/>
  <c r="Y18" i="44"/>
  <c r="X18" i="44"/>
  <c r="W18" i="44"/>
  <c r="V18" i="44"/>
  <c r="U18" i="44"/>
  <c r="P18" i="44"/>
  <c r="O18" i="44"/>
  <c r="N18" i="44"/>
  <c r="M18" i="44"/>
  <c r="L18" i="44"/>
  <c r="K18" i="44"/>
  <c r="J18" i="44"/>
  <c r="I18" i="44"/>
  <c r="H18" i="44"/>
  <c r="G18" i="44"/>
  <c r="C104" i="44" s="1"/>
  <c r="F18" i="44"/>
  <c r="E18" i="44"/>
  <c r="B18" i="44"/>
  <c r="B17" i="44"/>
  <c r="B16" i="44"/>
  <c r="B15" i="44"/>
  <c r="B14" i="44"/>
  <c r="B13" i="44"/>
  <c r="B11" i="44"/>
  <c r="B10" i="44"/>
  <c r="B9" i="44"/>
  <c r="B8" i="44"/>
  <c r="B6" i="44"/>
  <c r="B5" i="44"/>
  <c r="B4" i="44"/>
  <c r="B3" i="44"/>
  <c r="B1" i="44"/>
  <c r="D60" i="43" l="1"/>
  <c r="F22" i="43"/>
  <c r="C44" i="43"/>
  <c r="C113" i="43" s="1"/>
  <c r="C53" i="43"/>
  <c r="C54" i="43" s="1"/>
  <c r="C101" i="43" s="1"/>
  <c r="C52" i="43"/>
  <c r="C95" i="43"/>
  <c r="C148" i="43" s="1"/>
  <c r="C110" i="43"/>
  <c r="C109" i="43"/>
  <c r="C30" i="43"/>
  <c r="D101" i="43"/>
  <c r="D102" i="43" s="1"/>
  <c r="D52" i="43"/>
  <c r="D95" i="43"/>
  <c r="D44" i="43"/>
  <c r="D100" i="44"/>
  <c r="C100" i="44"/>
  <c r="D51" i="44"/>
  <c r="C106" i="44"/>
  <c r="C51" i="44"/>
  <c r="C105" i="44"/>
  <c r="C94" i="44"/>
  <c r="D94" i="44"/>
  <c r="C28" i="44"/>
  <c r="D38" i="44"/>
  <c r="C45" i="44"/>
  <c r="D113" i="44"/>
  <c r="D28" i="44"/>
  <c r="C43" i="44"/>
  <c r="D45" i="44"/>
  <c r="C39" i="44"/>
  <c r="C132" i="44"/>
  <c r="D132" i="44"/>
  <c r="D37" i="44"/>
  <c r="C60" i="43" l="1"/>
  <c r="E22" i="43"/>
  <c r="C102" i="43"/>
  <c r="D96" i="43"/>
  <c r="D147" i="43"/>
  <c r="D146" i="43"/>
  <c r="D68" i="43"/>
  <c r="C96" i="43"/>
  <c r="C146" i="43"/>
  <c r="C147" i="43"/>
  <c r="D148" i="43"/>
  <c r="C68" i="43"/>
  <c r="D95" i="44"/>
  <c r="D52" i="44"/>
  <c r="D30" i="44"/>
  <c r="D39" i="44"/>
  <c r="D44" i="44"/>
  <c r="D53" i="44"/>
  <c r="D54" i="44" s="1"/>
  <c r="D101" i="44" s="1"/>
  <c r="D102" i="44" s="1"/>
  <c r="D148" i="44"/>
  <c r="C95" i="44"/>
  <c r="C52" i="44"/>
  <c r="C110" i="44"/>
  <c r="C109" i="44"/>
  <c r="C44" i="44"/>
  <c r="C53" i="44"/>
  <c r="C54" i="44" s="1"/>
  <c r="C101" i="44" s="1"/>
  <c r="C30" i="44"/>
  <c r="C209" i="47"/>
  <c r="C208" i="47"/>
  <c r="C207" i="47"/>
  <c r="C204" i="47"/>
  <c r="C203" i="47"/>
  <c r="C202" i="47"/>
  <c r="C201" i="47"/>
  <c r="C200" i="47"/>
  <c r="C199" i="47"/>
  <c r="C198" i="47"/>
  <c r="C197" i="47"/>
  <c r="C196" i="47"/>
  <c r="C195" i="47"/>
  <c r="C194" i="47"/>
  <c r="C193" i="47"/>
  <c r="C192" i="47"/>
  <c r="C191" i="47"/>
  <c r="C190" i="47"/>
  <c r="C188" i="47"/>
  <c r="C187" i="47"/>
  <c r="C186" i="47"/>
  <c r="C185" i="47"/>
  <c r="C184" i="47"/>
  <c r="C183" i="47"/>
  <c r="C182" i="47"/>
  <c r="C181" i="47"/>
  <c r="C180" i="47"/>
  <c r="C179" i="47"/>
  <c r="C178" i="47"/>
  <c r="C177" i="47"/>
  <c r="C176" i="47"/>
  <c r="C175" i="47"/>
  <c r="C174" i="47"/>
  <c r="C173" i="47"/>
  <c r="C171" i="47"/>
  <c r="C170" i="47"/>
  <c r="C169" i="47"/>
  <c r="C166" i="47"/>
  <c r="C165" i="47"/>
  <c r="C164" i="47"/>
  <c r="C163" i="47"/>
  <c r="C162" i="47"/>
  <c r="C161" i="47"/>
  <c r="C160" i="47"/>
  <c r="C159" i="47"/>
  <c r="C158" i="47"/>
  <c r="C157" i="47"/>
  <c r="C156" i="47"/>
  <c r="C155" i="47"/>
  <c r="C89" i="47"/>
  <c r="C87" i="47"/>
  <c r="C86" i="47"/>
  <c r="C85" i="47"/>
  <c r="C84" i="47"/>
  <c r="C83" i="47"/>
  <c r="C82" i="47"/>
  <c r="C55" i="47"/>
  <c r="C36" i="47"/>
  <c r="C45" i="47" s="1"/>
  <c r="C34" i="47"/>
  <c r="C26" i="47"/>
  <c r="C25" i="47"/>
  <c r="C28" i="47" s="1"/>
  <c r="C24" i="47"/>
  <c r="H18" i="1"/>
  <c r="I18" i="1"/>
  <c r="J18" i="1"/>
  <c r="C92" i="47" l="1"/>
  <c r="C93" i="47"/>
  <c r="C102" i="44"/>
  <c r="E22" i="44"/>
  <c r="C60" i="44"/>
  <c r="F22" i="44"/>
  <c r="C68" i="44"/>
  <c r="D68" i="44"/>
  <c r="C96" i="44"/>
  <c r="C146" i="44"/>
  <c r="C147" i="44"/>
  <c r="C148" i="44"/>
  <c r="D60" i="44"/>
  <c r="D96" i="44"/>
  <c r="D147" i="44"/>
  <c r="D146" i="44"/>
  <c r="C94" i="47"/>
  <c r="C53" i="47"/>
  <c r="C54" i="47" s="1"/>
  <c r="C37" i="47"/>
  <c r="C38" i="47"/>
  <c r="C27" i="47"/>
  <c r="C43" i="47"/>
  <c r="C132" i="47"/>
  <c r="C122" i="43"/>
  <c r="D122" i="43"/>
  <c r="D75" i="43"/>
  <c r="C75" i="43"/>
  <c r="C76" i="43" l="1"/>
  <c r="C77" i="43" s="1"/>
  <c r="D76" i="43"/>
  <c r="D77" i="43" s="1"/>
  <c r="C44" i="47"/>
  <c r="C113" i="47" s="1"/>
  <c r="C39" i="47"/>
  <c r="C124" i="43"/>
  <c r="D75" i="44"/>
  <c r="C122" i="44"/>
  <c r="D122" i="44"/>
  <c r="C75" i="44"/>
  <c r="D124" i="43"/>
  <c r="D76" i="44" l="1"/>
  <c r="D77" i="44" s="1"/>
  <c r="C76" i="44"/>
  <c r="C77" i="44" s="1"/>
  <c r="D124" i="44"/>
  <c r="C124" i="44"/>
  <c r="B18" i="25" l="1"/>
  <c r="B210" i="50" l="1"/>
  <c r="C209" i="50"/>
  <c r="B209" i="50"/>
  <c r="C208" i="50"/>
  <c r="B208" i="50"/>
  <c r="C207" i="50"/>
  <c r="B207" i="50"/>
  <c r="B206" i="50"/>
  <c r="B205" i="50"/>
  <c r="C204" i="50"/>
  <c r="B204" i="50"/>
  <c r="C203" i="50"/>
  <c r="B203" i="50"/>
  <c r="C202" i="50"/>
  <c r="B202" i="50"/>
  <c r="C201" i="50"/>
  <c r="B201" i="50"/>
  <c r="C200" i="50"/>
  <c r="B200" i="50"/>
  <c r="C199" i="50"/>
  <c r="B199" i="50"/>
  <c r="C198" i="50"/>
  <c r="B198" i="50"/>
  <c r="C197" i="50"/>
  <c r="B197" i="50"/>
  <c r="C196" i="50"/>
  <c r="B196" i="50"/>
  <c r="C195" i="50"/>
  <c r="B195" i="50"/>
  <c r="C194" i="50"/>
  <c r="B194" i="50"/>
  <c r="C193" i="50"/>
  <c r="B193" i="50"/>
  <c r="C192" i="50"/>
  <c r="B192" i="50"/>
  <c r="C191" i="50"/>
  <c r="B191" i="50"/>
  <c r="C190" i="50"/>
  <c r="B190" i="50"/>
  <c r="B189" i="50"/>
  <c r="B188" i="50"/>
  <c r="B187" i="50"/>
  <c r="B186" i="50"/>
  <c r="C185" i="50"/>
  <c r="B185" i="50"/>
  <c r="C184" i="50"/>
  <c r="B184" i="50"/>
  <c r="C183" i="50"/>
  <c r="B183" i="50"/>
  <c r="C182" i="50"/>
  <c r="B182" i="50"/>
  <c r="B181" i="50"/>
  <c r="C180" i="50"/>
  <c r="B180" i="50"/>
  <c r="C179" i="50"/>
  <c r="B179" i="50"/>
  <c r="C178" i="50"/>
  <c r="B178" i="50"/>
  <c r="C177" i="50"/>
  <c r="B177" i="50"/>
  <c r="C176" i="50"/>
  <c r="B176" i="50"/>
  <c r="C175" i="50"/>
  <c r="B175" i="50"/>
  <c r="C174" i="50"/>
  <c r="B174" i="50"/>
  <c r="C173" i="50"/>
  <c r="B173" i="50"/>
  <c r="B172" i="50"/>
  <c r="C171" i="50"/>
  <c r="B171" i="50"/>
  <c r="C170" i="50"/>
  <c r="B170" i="50"/>
  <c r="C169" i="50"/>
  <c r="B169" i="50"/>
  <c r="B168" i="50"/>
  <c r="B167" i="50"/>
  <c r="C166" i="50"/>
  <c r="B166" i="50"/>
  <c r="C165" i="50"/>
  <c r="B165" i="50"/>
  <c r="C164" i="50"/>
  <c r="B164" i="50"/>
  <c r="C163" i="50"/>
  <c r="B163" i="50"/>
  <c r="C162" i="50"/>
  <c r="B162" i="50"/>
  <c r="C161" i="50"/>
  <c r="B161" i="50"/>
  <c r="B160" i="50"/>
  <c r="B159" i="50"/>
  <c r="B158" i="50"/>
  <c r="C157" i="50"/>
  <c r="B157" i="50"/>
  <c r="C156" i="50"/>
  <c r="B156" i="50"/>
  <c r="C155" i="50"/>
  <c r="B155" i="50"/>
  <c r="B153" i="50"/>
  <c r="B152" i="50"/>
  <c r="B151" i="50"/>
  <c r="B150" i="50"/>
  <c r="B148" i="50"/>
  <c r="B147" i="50"/>
  <c r="B146" i="50"/>
  <c r="B145" i="50"/>
  <c r="B143" i="50"/>
  <c r="B142" i="50"/>
  <c r="B141" i="50"/>
  <c r="B140" i="50"/>
  <c r="B139" i="50"/>
  <c r="B138" i="50"/>
  <c r="B137" i="50"/>
  <c r="B136" i="50"/>
  <c r="B135" i="50"/>
  <c r="B134" i="50"/>
  <c r="B133" i="50"/>
  <c r="B132" i="50"/>
  <c r="B131" i="50"/>
  <c r="B129" i="50"/>
  <c r="B128" i="50"/>
  <c r="B127" i="50"/>
  <c r="B126" i="50"/>
  <c r="B124" i="50"/>
  <c r="B123" i="50"/>
  <c r="B122" i="50"/>
  <c r="B121" i="50"/>
  <c r="B120" i="50"/>
  <c r="B118" i="50"/>
  <c r="B117" i="50"/>
  <c r="B116" i="50"/>
  <c r="B115" i="50"/>
  <c r="B114" i="50"/>
  <c r="B113" i="50"/>
  <c r="B112" i="50"/>
  <c r="B110" i="50"/>
  <c r="B109" i="50"/>
  <c r="B108" i="50"/>
  <c r="B107" i="50"/>
  <c r="B106" i="50"/>
  <c r="B105" i="50"/>
  <c r="B104" i="50"/>
  <c r="B102" i="50"/>
  <c r="B101" i="50"/>
  <c r="B100" i="50"/>
  <c r="B99" i="50"/>
  <c r="B98" i="50"/>
  <c r="B97" i="50"/>
  <c r="B96" i="50"/>
  <c r="B95" i="50"/>
  <c r="B94" i="50"/>
  <c r="B93" i="50"/>
  <c r="B92" i="50"/>
  <c r="B91" i="50"/>
  <c r="B90" i="50"/>
  <c r="D89" i="50"/>
  <c r="C89" i="50"/>
  <c r="B89" i="50"/>
  <c r="B88" i="50"/>
  <c r="D87" i="50"/>
  <c r="C87" i="50"/>
  <c r="B87" i="50"/>
  <c r="D86" i="50"/>
  <c r="C86" i="50"/>
  <c r="B86" i="50"/>
  <c r="D85" i="50"/>
  <c r="C85" i="50"/>
  <c r="B85" i="50"/>
  <c r="D84" i="50"/>
  <c r="C84" i="50"/>
  <c r="B84" i="50"/>
  <c r="D83" i="50"/>
  <c r="C83" i="50"/>
  <c r="B83" i="50"/>
  <c r="D82" i="50"/>
  <c r="C82" i="50"/>
  <c r="B82" i="50"/>
  <c r="B81" i="50"/>
  <c r="B80" i="50"/>
  <c r="B79" i="50"/>
  <c r="B78" i="50"/>
  <c r="B77" i="50"/>
  <c r="B76" i="50"/>
  <c r="B75" i="50"/>
  <c r="B74" i="50"/>
  <c r="B73" i="50"/>
  <c r="B72" i="50"/>
  <c r="B71" i="50"/>
  <c r="B70" i="50"/>
  <c r="B69" i="50"/>
  <c r="B68" i="50"/>
  <c r="B67" i="50"/>
  <c r="B66" i="50"/>
  <c r="B65" i="50"/>
  <c r="B64" i="50"/>
  <c r="B63" i="50"/>
  <c r="B62" i="50"/>
  <c r="B61" i="50"/>
  <c r="B60" i="50"/>
  <c r="B59" i="50"/>
  <c r="B58" i="50"/>
  <c r="B57" i="50"/>
  <c r="B56" i="50"/>
  <c r="D55" i="50"/>
  <c r="C55" i="50"/>
  <c r="B55" i="50"/>
  <c r="B54" i="50"/>
  <c r="B53" i="50"/>
  <c r="B52" i="50"/>
  <c r="B51" i="50"/>
  <c r="B50" i="50"/>
  <c r="B49" i="50"/>
  <c r="B48" i="50"/>
  <c r="B47" i="50"/>
  <c r="B46" i="50"/>
  <c r="B45" i="50"/>
  <c r="B44" i="50"/>
  <c r="B43" i="50"/>
  <c r="B42" i="50"/>
  <c r="B41" i="50"/>
  <c r="B40" i="50"/>
  <c r="B39" i="50"/>
  <c r="B38" i="50"/>
  <c r="B37" i="50"/>
  <c r="D36" i="50"/>
  <c r="D113" i="50" s="1"/>
  <c r="C36" i="50"/>
  <c r="B36" i="50"/>
  <c r="B35" i="50"/>
  <c r="D34" i="50"/>
  <c r="C34" i="50"/>
  <c r="B34" i="50"/>
  <c r="B33" i="50"/>
  <c r="B32" i="50"/>
  <c r="B31" i="50"/>
  <c r="B30" i="50"/>
  <c r="B29" i="50"/>
  <c r="B28" i="50"/>
  <c r="B27" i="50"/>
  <c r="D26" i="50"/>
  <c r="C26" i="50"/>
  <c r="B26" i="50"/>
  <c r="D25" i="50"/>
  <c r="D27" i="50" s="1"/>
  <c r="C25" i="50"/>
  <c r="B25" i="50"/>
  <c r="D24" i="50"/>
  <c r="C24" i="50"/>
  <c r="B24" i="50"/>
  <c r="B23" i="50"/>
  <c r="B22" i="50"/>
  <c r="B21" i="50"/>
  <c r="B20" i="50"/>
  <c r="B19" i="50"/>
  <c r="AJ18" i="50"/>
  <c r="AI18" i="50"/>
  <c r="AH18" i="50"/>
  <c r="AG18" i="50"/>
  <c r="AF18" i="50"/>
  <c r="AE18" i="50"/>
  <c r="AD18" i="50"/>
  <c r="AC18" i="50"/>
  <c r="AB18" i="50"/>
  <c r="AA18" i="50"/>
  <c r="Z18" i="50"/>
  <c r="Y18" i="50"/>
  <c r="X18" i="50"/>
  <c r="W18" i="50"/>
  <c r="V18" i="50"/>
  <c r="U18" i="50"/>
  <c r="T18" i="50"/>
  <c r="S18" i="50"/>
  <c r="R18" i="50"/>
  <c r="Q18" i="50"/>
  <c r="P18" i="50"/>
  <c r="O18" i="50"/>
  <c r="N18" i="50"/>
  <c r="M18" i="50"/>
  <c r="L18" i="50"/>
  <c r="K18" i="50"/>
  <c r="J18" i="50"/>
  <c r="I18" i="50"/>
  <c r="H18" i="50"/>
  <c r="G18" i="50"/>
  <c r="F18" i="50"/>
  <c r="E18" i="50"/>
  <c r="C104" i="50" s="1"/>
  <c r="B18" i="50"/>
  <c r="B17" i="50"/>
  <c r="B16" i="50"/>
  <c r="B15" i="50"/>
  <c r="B14" i="50"/>
  <c r="B13" i="50"/>
  <c r="B11" i="50"/>
  <c r="B10" i="50"/>
  <c r="B9" i="50"/>
  <c r="B8" i="50"/>
  <c r="B6" i="50"/>
  <c r="B5" i="50"/>
  <c r="B4" i="50"/>
  <c r="B3" i="50"/>
  <c r="B1" i="50"/>
  <c r="B210" i="51"/>
  <c r="C209" i="51"/>
  <c r="B209" i="51"/>
  <c r="C208" i="51"/>
  <c r="B208" i="51"/>
  <c r="C207" i="51"/>
  <c r="B207" i="51"/>
  <c r="B206" i="51"/>
  <c r="B205" i="51"/>
  <c r="C204" i="51"/>
  <c r="B204" i="51"/>
  <c r="C203" i="51"/>
  <c r="B203" i="51"/>
  <c r="C202" i="51"/>
  <c r="B202" i="51"/>
  <c r="C201" i="51"/>
  <c r="B201" i="51"/>
  <c r="C200" i="51"/>
  <c r="B200" i="51"/>
  <c r="C199" i="51"/>
  <c r="B199" i="51"/>
  <c r="C198" i="51"/>
  <c r="B198" i="51"/>
  <c r="C197" i="51"/>
  <c r="B197" i="51"/>
  <c r="C196" i="51"/>
  <c r="B196" i="51"/>
  <c r="C195" i="51"/>
  <c r="B195" i="51"/>
  <c r="C194" i="51"/>
  <c r="B194" i="51"/>
  <c r="C193" i="51"/>
  <c r="B193" i="51"/>
  <c r="C192" i="51"/>
  <c r="B192" i="51"/>
  <c r="C191" i="51"/>
  <c r="B191" i="51"/>
  <c r="C190" i="51"/>
  <c r="B190" i="51"/>
  <c r="B189" i="51"/>
  <c r="B188" i="51"/>
  <c r="B187" i="51"/>
  <c r="B186" i="51"/>
  <c r="C185" i="51"/>
  <c r="B185" i="51"/>
  <c r="C184" i="51"/>
  <c r="B184" i="51"/>
  <c r="C183" i="51"/>
  <c r="B183" i="51"/>
  <c r="C182" i="51"/>
  <c r="B182" i="51"/>
  <c r="B181" i="51"/>
  <c r="C180" i="51"/>
  <c r="B180" i="51"/>
  <c r="C179" i="51"/>
  <c r="B179" i="51"/>
  <c r="C178" i="51"/>
  <c r="B178" i="51"/>
  <c r="C177" i="51"/>
  <c r="B177" i="51"/>
  <c r="C176" i="51"/>
  <c r="B176" i="51"/>
  <c r="C175" i="51"/>
  <c r="B175" i="51"/>
  <c r="C174" i="51"/>
  <c r="B174" i="51"/>
  <c r="C173" i="51"/>
  <c r="B173" i="51"/>
  <c r="B172" i="51"/>
  <c r="C171" i="51"/>
  <c r="B171" i="51"/>
  <c r="C170" i="51"/>
  <c r="B170" i="51"/>
  <c r="C169" i="51"/>
  <c r="B169" i="51"/>
  <c r="B168" i="51"/>
  <c r="B167" i="51"/>
  <c r="C166" i="51"/>
  <c r="B166" i="51"/>
  <c r="C165" i="51"/>
  <c r="B165" i="51"/>
  <c r="C164" i="51"/>
  <c r="B164" i="51"/>
  <c r="C163" i="51"/>
  <c r="B163" i="51"/>
  <c r="C162" i="51"/>
  <c r="B162" i="51"/>
  <c r="C161" i="51"/>
  <c r="B161" i="51"/>
  <c r="B160" i="51"/>
  <c r="B159" i="51"/>
  <c r="B158" i="51"/>
  <c r="C157" i="51"/>
  <c r="B157" i="51"/>
  <c r="C156" i="51"/>
  <c r="B156" i="51"/>
  <c r="C155" i="51"/>
  <c r="B155" i="51"/>
  <c r="B153" i="51"/>
  <c r="B152" i="51"/>
  <c r="B151" i="51"/>
  <c r="B150" i="51"/>
  <c r="B148" i="51"/>
  <c r="B147" i="51"/>
  <c r="B146" i="51"/>
  <c r="B145" i="51"/>
  <c r="B143" i="51"/>
  <c r="B142" i="51"/>
  <c r="B141" i="51"/>
  <c r="B140" i="51"/>
  <c r="B139" i="51"/>
  <c r="B138" i="51"/>
  <c r="B137" i="51"/>
  <c r="B136" i="51"/>
  <c r="B135" i="51"/>
  <c r="B134" i="51"/>
  <c r="B133" i="51"/>
  <c r="B132" i="51"/>
  <c r="B131" i="51"/>
  <c r="B129" i="51"/>
  <c r="B128" i="51"/>
  <c r="B127" i="51"/>
  <c r="B126" i="51"/>
  <c r="B124" i="51"/>
  <c r="B123" i="51"/>
  <c r="B122" i="51"/>
  <c r="B121" i="51"/>
  <c r="B120" i="51"/>
  <c r="B118" i="51"/>
  <c r="B117" i="51"/>
  <c r="B116" i="51"/>
  <c r="B115" i="51"/>
  <c r="B114" i="51"/>
  <c r="B113" i="51"/>
  <c r="B112" i="51"/>
  <c r="B110" i="51"/>
  <c r="B109" i="51"/>
  <c r="B108" i="51"/>
  <c r="B107" i="51"/>
  <c r="B106" i="51"/>
  <c r="B105" i="51"/>
  <c r="B104" i="51"/>
  <c r="B102" i="51"/>
  <c r="B101" i="51"/>
  <c r="B100" i="51"/>
  <c r="B99" i="51"/>
  <c r="B98" i="51"/>
  <c r="B97" i="51"/>
  <c r="B96" i="51"/>
  <c r="B95" i="51"/>
  <c r="B94" i="51"/>
  <c r="B93" i="51"/>
  <c r="B92" i="51"/>
  <c r="B91" i="51"/>
  <c r="B90" i="51"/>
  <c r="D89" i="51"/>
  <c r="C89" i="51"/>
  <c r="B89" i="51"/>
  <c r="B88" i="51"/>
  <c r="D87" i="51"/>
  <c r="C87" i="51"/>
  <c r="B87" i="51"/>
  <c r="D86" i="51"/>
  <c r="C86" i="51"/>
  <c r="B86" i="51"/>
  <c r="D85" i="51"/>
  <c r="C85" i="51"/>
  <c r="B85" i="51"/>
  <c r="D84" i="51"/>
  <c r="C84" i="51"/>
  <c r="B84" i="51"/>
  <c r="D83" i="51"/>
  <c r="C83" i="51"/>
  <c r="B83" i="51"/>
  <c r="D82" i="51"/>
  <c r="C82" i="51"/>
  <c r="B82" i="51"/>
  <c r="B81" i="51"/>
  <c r="B80" i="51"/>
  <c r="B79" i="51"/>
  <c r="B78" i="51"/>
  <c r="B77" i="51"/>
  <c r="B76" i="51"/>
  <c r="B75" i="51"/>
  <c r="B74" i="51"/>
  <c r="B73" i="51"/>
  <c r="B72" i="51"/>
  <c r="B71" i="51"/>
  <c r="B70" i="51"/>
  <c r="B69" i="51"/>
  <c r="B68" i="51"/>
  <c r="B67" i="51"/>
  <c r="B66" i="51"/>
  <c r="B65" i="51"/>
  <c r="B64" i="51"/>
  <c r="B63" i="51"/>
  <c r="B62" i="51"/>
  <c r="B61" i="51"/>
  <c r="B60" i="51"/>
  <c r="B59" i="51"/>
  <c r="B58" i="51"/>
  <c r="B57" i="51"/>
  <c r="B56" i="51"/>
  <c r="B55" i="51"/>
  <c r="B54" i="51"/>
  <c r="B53" i="51"/>
  <c r="B52" i="51"/>
  <c r="B51" i="51"/>
  <c r="B50" i="51"/>
  <c r="B49" i="51"/>
  <c r="B48" i="51"/>
  <c r="B47" i="51"/>
  <c r="B46" i="51"/>
  <c r="B45" i="51"/>
  <c r="B44" i="51"/>
  <c r="B43" i="51"/>
  <c r="B42" i="51"/>
  <c r="B41" i="51"/>
  <c r="B40" i="51"/>
  <c r="B39" i="51"/>
  <c r="B38" i="51"/>
  <c r="B37" i="51"/>
  <c r="D36" i="51"/>
  <c r="D37" i="51" s="1"/>
  <c r="C36" i="51"/>
  <c r="B36" i="51"/>
  <c r="B35" i="51"/>
  <c r="D34" i="51"/>
  <c r="C34" i="51"/>
  <c r="B34" i="51"/>
  <c r="B33" i="51"/>
  <c r="B32" i="51"/>
  <c r="B31" i="51"/>
  <c r="B30" i="51"/>
  <c r="B29" i="51"/>
  <c r="B28" i="51"/>
  <c r="B27" i="51"/>
  <c r="D26" i="51"/>
  <c r="C26" i="51"/>
  <c r="B26" i="51"/>
  <c r="D25" i="51"/>
  <c r="D27" i="51" s="1"/>
  <c r="C25" i="51"/>
  <c r="B25" i="51"/>
  <c r="D24" i="51"/>
  <c r="C24" i="51"/>
  <c r="B24" i="51"/>
  <c r="B23" i="51"/>
  <c r="B22" i="51"/>
  <c r="B21" i="51"/>
  <c r="B20" i="51"/>
  <c r="B19" i="51"/>
  <c r="AJ18" i="51"/>
  <c r="AI18" i="51"/>
  <c r="AH18" i="51"/>
  <c r="AG18" i="51"/>
  <c r="AF18" i="51"/>
  <c r="AE18" i="51"/>
  <c r="AD18" i="51"/>
  <c r="AC18" i="51"/>
  <c r="AB18" i="51"/>
  <c r="AA18" i="51"/>
  <c r="Z18" i="51"/>
  <c r="Y18" i="51"/>
  <c r="X18" i="51"/>
  <c r="W18" i="51"/>
  <c r="V18" i="51"/>
  <c r="U18" i="51"/>
  <c r="T18" i="51"/>
  <c r="S18" i="51"/>
  <c r="R18" i="51"/>
  <c r="Q18" i="51"/>
  <c r="P18" i="51"/>
  <c r="O18" i="51"/>
  <c r="N18" i="51"/>
  <c r="M18" i="51"/>
  <c r="L18" i="51"/>
  <c r="K18" i="51"/>
  <c r="J18" i="51"/>
  <c r="I18" i="51"/>
  <c r="H18" i="51"/>
  <c r="G18" i="51"/>
  <c r="F18" i="51"/>
  <c r="E18" i="51"/>
  <c r="B18" i="51"/>
  <c r="B17" i="51"/>
  <c r="B16" i="51"/>
  <c r="B15" i="51"/>
  <c r="B14" i="51"/>
  <c r="B13" i="51"/>
  <c r="B11" i="51"/>
  <c r="B10" i="51"/>
  <c r="B9" i="51"/>
  <c r="B8" i="51"/>
  <c r="B6" i="51"/>
  <c r="B5" i="51"/>
  <c r="B4" i="51"/>
  <c r="B3" i="51"/>
  <c r="B1" i="51"/>
  <c r="B210" i="54"/>
  <c r="C209" i="54"/>
  <c r="B209" i="54"/>
  <c r="C208" i="54"/>
  <c r="B208" i="54"/>
  <c r="C207" i="54"/>
  <c r="B207" i="54"/>
  <c r="B206" i="54"/>
  <c r="B205" i="54"/>
  <c r="C204" i="54"/>
  <c r="B204" i="54"/>
  <c r="C203" i="54"/>
  <c r="B203" i="54"/>
  <c r="C202" i="54"/>
  <c r="B202" i="54"/>
  <c r="C201" i="54"/>
  <c r="B201" i="54"/>
  <c r="C200" i="54"/>
  <c r="B200" i="54"/>
  <c r="C199" i="54"/>
  <c r="B199" i="54"/>
  <c r="C198" i="54"/>
  <c r="B198" i="54"/>
  <c r="C197" i="54"/>
  <c r="B197" i="54"/>
  <c r="C196" i="54"/>
  <c r="B196" i="54"/>
  <c r="C195" i="54"/>
  <c r="B195" i="54"/>
  <c r="C194" i="54"/>
  <c r="B194" i="54"/>
  <c r="C193" i="54"/>
  <c r="B193" i="54"/>
  <c r="C192" i="54"/>
  <c r="B192" i="54"/>
  <c r="C191" i="54"/>
  <c r="B191" i="54"/>
  <c r="C190" i="54"/>
  <c r="B190" i="54"/>
  <c r="B189" i="54"/>
  <c r="B188" i="54"/>
  <c r="B187" i="54"/>
  <c r="B186" i="54"/>
  <c r="C185" i="54"/>
  <c r="B185" i="54"/>
  <c r="C184" i="54"/>
  <c r="B184" i="54"/>
  <c r="C183" i="54"/>
  <c r="B183" i="54"/>
  <c r="C182" i="54"/>
  <c r="B182" i="54"/>
  <c r="B181" i="54"/>
  <c r="C180" i="54"/>
  <c r="B180" i="54"/>
  <c r="C179" i="54"/>
  <c r="B179" i="54"/>
  <c r="C178" i="54"/>
  <c r="B178" i="54"/>
  <c r="C177" i="54"/>
  <c r="B177" i="54"/>
  <c r="C176" i="54"/>
  <c r="B176" i="54"/>
  <c r="C175" i="54"/>
  <c r="B175" i="54"/>
  <c r="C174" i="54"/>
  <c r="B174" i="54"/>
  <c r="C173" i="54"/>
  <c r="B173" i="54"/>
  <c r="B172" i="54"/>
  <c r="C171" i="54"/>
  <c r="B171" i="54"/>
  <c r="C170" i="54"/>
  <c r="B170" i="54"/>
  <c r="C169" i="54"/>
  <c r="B169" i="54"/>
  <c r="B168" i="54"/>
  <c r="B167" i="54"/>
  <c r="C166" i="54"/>
  <c r="B166" i="54"/>
  <c r="C165" i="54"/>
  <c r="B165" i="54"/>
  <c r="C164" i="54"/>
  <c r="B164" i="54"/>
  <c r="C163" i="54"/>
  <c r="B163" i="54"/>
  <c r="C162" i="54"/>
  <c r="B162" i="54"/>
  <c r="C161" i="54"/>
  <c r="B161" i="54"/>
  <c r="B160" i="54"/>
  <c r="B159" i="54"/>
  <c r="B158" i="54"/>
  <c r="C157" i="54"/>
  <c r="B157" i="54"/>
  <c r="C156" i="54"/>
  <c r="B156" i="54"/>
  <c r="C155" i="54"/>
  <c r="B155" i="54"/>
  <c r="B153" i="54"/>
  <c r="B152" i="54"/>
  <c r="B151" i="54"/>
  <c r="B150" i="54"/>
  <c r="B148" i="54"/>
  <c r="B147" i="54"/>
  <c r="B146" i="54"/>
  <c r="B145" i="54"/>
  <c r="B143" i="54"/>
  <c r="B142" i="54"/>
  <c r="B141" i="54"/>
  <c r="B140" i="54"/>
  <c r="B139" i="54"/>
  <c r="B138" i="54"/>
  <c r="B137" i="54"/>
  <c r="B136" i="54"/>
  <c r="B135" i="54"/>
  <c r="B134" i="54"/>
  <c r="B133" i="54"/>
  <c r="B132" i="54"/>
  <c r="B131" i="54"/>
  <c r="B129" i="54"/>
  <c r="B128" i="54"/>
  <c r="B127" i="54"/>
  <c r="B126" i="54"/>
  <c r="B124" i="54"/>
  <c r="B123" i="54"/>
  <c r="B122" i="54"/>
  <c r="B121" i="54"/>
  <c r="B120" i="54"/>
  <c r="B118" i="54"/>
  <c r="B117" i="54"/>
  <c r="B116" i="54"/>
  <c r="B115" i="54"/>
  <c r="B114" i="54"/>
  <c r="B113" i="54"/>
  <c r="B112" i="54"/>
  <c r="B110" i="54"/>
  <c r="B109" i="54"/>
  <c r="B108" i="54"/>
  <c r="B107" i="54"/>
  <c r="B106" i="54"/>
  <c r="B105" i="54"/>
  <c r="B104" i="54"/>
  <c r="B102" i="54"/>
  <c r="B101" i="54"/>
  <c r="B100" i="54"/>
  <c r="B99" i="54"/>
  <c r="B98" i="54"/>
  <c r="B97" i="54"/>
  <c r="B96" i="54"/>
  <c r="B95" i="54"/>
  <c r="B94" i="54"/>
  <c r="B93" i="54"/>
  <c r="B92" i="54"/>
  <c r="B91" i="54"/>
  <c r="B90" i="54"/>
  <c r="D89" i="54"/>
  <c r="C89" i="54"/>
  <c r="B89" i="54"/>
  <c r="B88" i="54"/>
  <c r="D87" i="54"/>
  <c r="C87" i="54"/>
  <c r="B87" i="54"/>
  <c r="D86" i="54"/>
  <c r="C86" i="54"/>
  <c r="B86" i="54"/>
  <c r="D85" i="54"/>
  <c r="C85" i="54"/>
  <c r="B85" i="54"/>
  <c r="D84" i="54"/>
  <c r="C84" i="54"/>
  <c r="B84" i="54"/>
  <c r="D83" i="54"/>
  <c r="C83" i="54"/>
  <c r="B83" i="54"/>
  <c r="D82" i="54"/>
  <c r="C82" i="54"/>
  <c r="B82" i="54"/>
  <c r="B81" i="54"/>
  <c r="B80" i="54"/>
  <c r="B79" i="54"/>
  <c r="B78" i="54"/>
  <c r="B77" i="54"/>
  <c r="B76" i="54"/>
  <c r="B75" i="54"/>
  <c r="B74" i="54"/>
  <c r="B73" i="54"/>
  <c r="B72" i="54"/>
  <c r="B71" i="54"/>
  <c r="B70" i="54"/>
  <c r="B69" i="54"/>
  <c r="B68" i="54"/>
  <c r="B67" i="54"/>
  <c r="B66" i="54"/>
  <c r="B65" i="54"/>
  <c r="B64" i="54"/>
  <c r="B63" i="54"/>
  <c r="B62" i="54"/>
  <c r="B61" i="54"/>
  <c r="B60" i="54"/>
  <c r="B59" i="54"/>
  <c r="B58" i="54"/>
  <c r="B57" i="54"/>
  <c r="B56" i="54"/>
  <c r="D55" i="54"/>
  <c r="C55" i="54"/>
  <c r="B55" i="54"/>
  <c r="B54" i="54"/>
  <c r="B53" i="54"/>
  <c r="B52" i="54"/>
  <c r="B51" i="54"/>
  <c r="B50" i="54"/>
  <c r="B49" i="54"/>
  <c r="B48" i="54"/>
  <c r="B47" i="54"/>
  <c r="B46" i="54"/>
  <c r="B45" i="54"/>
  <c r="B44" i="54"/>
  <c r="D43" i="54"/>
  <c r="B43" i="54"/>
  <c r="B42" i="54"/>
  <c r="B41" i="54"/>
  <c r="B40" i="54"/>
  <c r="B39" i="54"/>
  <c r="B38" i="54"/>
  <c r="B37" i="54"/>
  <c r="D36" i="54"/>
  <c r="D38" i="54" s="1"/>
  <c r="C36" i="54"/>
  <c r="B36" i="54"/>
  <c r="B35" i="54"/>
  <c r="D34" i="54"/>
  <c r="C34" i="54"/>
  <c r="B34" i="54"/>
  <c r="B33" i="54"/>
  <c r="B32" i="54"/>
  <c r="B31" i="54"/>
  <c r="B30" i="54"/>
  <c r="B29" i="54"/>
  <c r="B28" i="54"/>
  <c r="B27" i="54"/>
  <c r="D26" i="54"/>
  <c r="C26" i="54"/>
  <c r="B26" i="54"/>
  <c r="D25" i="54"/>
  <c r="D27" i="54" s="1"/>
  <c r="C25" i="54"/>
  <c r="C27" i="54" s="1"/>
  <c r="B25" i="54"/>
  <c r="D24" i="54"/>
  <c r="C24" i="54"/>
  <c r="B24" i="54"/>
  <c r="B23" i="54"/>
  <c r="B22" i="54"/>
  <c r="B21" i="54"/>
  <c r="B20" i="54"/>
  <c r="B19" i="54"/>
  <c r="AJ18" i="54"/>
  <c r="AI18" i="54"/>
  <c r="AH18" i="54"/>
  <c r="AG18" i="54"/>
  <c r="AF18" i="54"/>
  <c r="AE18" i="54"/>
  <c r="AD18" i="54"/>
  <c r="AC18" i="54"/>
  <c r="AB18" i="54"/>
  <c r="AA18" i="54"/>
  <c r="Z18" i="54"/>
  <c r="Y18" i="54"/>
  <c r="X18" i="54"/>
  <c r="W18" i="54"/>
  <c r="V18" i="54"/>
  <c r="U18" i="54"/>
  <c r="T18" i="54"/>
  <c r="S18" i="54"/>
  <c r="R18" i="54"/>
  <c r="Q18" i="54"/>
  <c r="P18" i="54"/>
  <c r="O18" i="54"/>
  <c r="N18" i="54"/>
  <c r="M18" i="54"/>
  <c r="L18" i="54"/>
  <c r="K18" i="54"/>
  <c r="J18" i="54"/>
  <c r="I18" i="54"/>
  <c r="H18" i="54"/>
  <c r="G18" i="54"/>
  <c r="F18" i="54"/>
  <c r="E18" i="54"/>
  <c r="B18" i="54"/>
  <c r="B17" i="54"/>
  <c r="B16" i="54"/>
  <c r="B15" i="54"/>
  <c r="B14" i="54"/>
  <c r="B13" i="54"/>
  <c r="B11" i="54"/>
  <c r="B10" i="54"/>
  <c r="B9" i="54"/>
  <c r="B8" i="54"/>
  <c r="B6" i="54"/>
  <c r="B5" i="54"/>
  <c r="B4" i="54"/>
  <c r="B3" i="54"/>
  <c r="B1" i="54"/>
  <c r="B210" i="49"/>
  <c r="C209" i="49"/>
  <c r="B209" i="49"/>
  <c r="C208" i="49"/>
  <c r="B208" i="49"/>
  <c r="C207" i="49"/>
  <c r="B207" i="49"/>
  <c r="B206" i="49"/>
  <c r="B205" i="49"/>
  <c r="C204" i="49"/>
  <c r="B204" i="49"/>
  <c r="C203" i="49"/>
  <c r="B203" i="49"/>
  <c r="C202" i="49"/>
  <c r="B202" i="49"/>
  <c r="C201" i="49"/>
  <c r="B201" i="49"/>
  <c r="C200" i="49"/>
  <c r="B200" i="49"/>
  <c r="C199" i="49"/>
  <c r="B199" i="49"/>
  <c r="C198" i="49"/>
  <c r="B198" i="49"/>
  <c r="C197" i="49"/>
  <c r="B197" i="49"/>
  <c r="C196" i="49"/>
  <c r="B196" i="49"/>
  <c r="C195" i="49"/>
  <c r="B195" i="49"/>
  <c r="C194" i="49"/>
  <c r="B194" i="49"/>
  <c r="C193" i="49"/>
  <c r="B193" i="49"/>
  <c r="C192" i="49"/>
  <c r="B192" i="49"/>
  <c r="C191" i="49"/>
  <c r="B191" i="49"/>
  <c r="C190" i="49"/>
  <c r="B190" i="49"/>
  <c r="B189" i="49"/>
  <c r="B188" i="49"/>
  <c r="B187" i="49"/>
  <c r="B186" i="49"/>
  <c r="C185" i="49"/>
  <c r="B185" i="49"/>
  <c r="C184" i="49"/>
  <c r="B184" i="49"/>
  <c r="C183" i="49"/>
  <c r="B183" i="49"/>
  <c r="C182" i="49"/>
  <c r="B182" i="49"/>
  <c r="B181" i="49"/>
  <c r="C180" i="49"/>
  <c r="B180" i="49"/>
  <c r="C179" i="49"/>
  <c r="B179" i="49"/>
  <c r="C178" i="49"/>
  <c r="B178" i="49"/>
  <c r="C177" i="49"/>
  <c r="B177" i="49"/>
  <c r="C176" i="49"/>
  <c r="B176" i="49"/>
  <c r="C175" i="49"/>
  <c r="B175" i="49"/>
  <c r="C174" i="49"/>
  <c r="B174" i="49"/>
  <c r="C173" i="49"/>
  <c r="B173" i="49"/>
  <c r="B172" i="49"/>
  <c r="C171" i="49"/>
  <c r="B171" i="49"/>
  <c r="C170" i="49"/>
  <c r="B170" i="49"/>
  <c r="C169" i="49"/>
  <c r="B169" i="49"/>
  <c r="B168" i="49"/>
  <c r="B167" i="49"/>
  <c r="C166" i="49"/>
  <c r="B166" i="49"/>
  <c r="C165" i="49"/>
  <c r="B165" i="49"/>
  <c r="C164" i="49"/>
  <c r="B164" i="49"/>
  <c r="C163" i="49"/>
  <c r="B163" i="49"/>
  <c r="C162" i="49"/>
  <c r="B162" i="49"/>
  <c r="C161" i="49"/>
  <c r="B161" i="49"/>
  <c r="B160" i="49"/>
  <c r="B159" i="49"/>
  <c r="B158" i="49"/>
  <c r="C157" i="49"/>
  <c r="B157" i="49"/>
  <c r="C156" i="49"/>
  <c r="B156" i="49"/>
  <c r="C155" i="49"/>
  <c r="B155" i="49"/>
  <c r="B153" i="49"/>
  <c r="B152" i="49"/>
  <c r="B151" i="49"/>
  <c r="B150" i="49"/>
  <c r="B148" i="49"/>
  <c r="B147" i="49"/>
  <c r="B146" i="49"/>
  <c r="B145" i="49"/>
  <c r="B143" i="49"/>
  <c r="B142" i="49"/>
  <c r="B141" i="49"/>
  <c r="B140" i="49"/>
  <c r="B139" i="49"/>
  <c r="B138" i="49"/>
  <c r="B137" i="49"/>
  <c r="B136" i="49"/>
  <c r="B135" i="49"/>
  <c r="B134" i="49"/>
  <c r="B133" i="49"/>
  <c r="B132" i="49"/>
  <c r="B131" i="49"/>
  <c r="B129" i="49"/>
  <c r="B128" i="49"/>
  <c r="B127" i="49"/>
  <c r="B126" i="49"/>
  <c r="B124" i="49"/>
  <c r="B123" i="49"/>
  <c r="B122" i="49"/>
  <c r="B121" i="49"/>
  <c r="B120" i="49"/>
  <c r="B118" i="49"/>
  <c r="B117" i="49"/>
  <c r="B116" i="49"/>
  <c r="B115" i="49"/>
  <c r="B114" i="49"/>
  <c r="B113" i="49"/>
  <c r="B112" i="49"/>
  <c r="B110" i="49"/>
  <c r="B109" i="49"/>
  <c r="B108" i="49"/>
  <c r="B107" i="49"/>
  <c r="B106" i="49"/>
  <c r="B105" i="49"/>
  <c r="B104" i="49"/>
  <c r="B102" i="49"/>
  <c r="B101" i="49"/>
  <c r="B100" i="49"/>
  <c r="B99" i="49"/>
  <c r="B98" i="49"/>
  <c r="B97" i="49"/>
  <c r="B96" i="49"/>
  <c r="B95" i="49"/>
  <c r="B94" i="49"/>
  <c r="B93" i="49"/>
  <c r="B92" i="49"/>
  <c r="B91" i="49"/>
  <c r="B90" i="49"/>
  <c r="D89" i="49"/>
  <c r="C89" i="49"/>
  <c r="B89" i="49"/>
  <c r="B88" i="49"/>
  <c r="D87" i="49"/>
  <c r="C87" i="49"/>
  <c r="B87" i="49"/>
  <c r="D86" i="49"/>
  <c r="C86" i="49"/>
  <c r="B86" i="49"/>
  <c r="D85" i="49"/>
  <c r="C85" i="49"/>
  <c r="B85" i="49"/>
  <c r="D84" i="49"/>
  <c r="C84" i="49"/>
  <c r="B84" i="49"/>
  <c r="D83" i="49"/>
  <c r="C83" i="49"/>
  <c r="B83" i="49"/>
  <c r="D82" i="49"/>
  <c r="C82" i="49"/>
  <c r="B82" i="49"/>
  <c r="B81" i="49"/>
  <c r="B80" i="49"/>
  <c r="B79" i="49"/>
  <c r="B78" i="49"/>
  <c r="B77" i="49"/>
  <c r="B76" i="49"/>
  <c r="B75" i="49"/>
  <c r="B74" i="49"/>
  <c r="B73" i="49"/>
  <c r="B72" i="49"/>
  <c r="B71" i="49"/>
  <c r="B70" i="49"/>
  <c r="B69" i="49"/>
  <c r="B68" i="49"/>
  <c r="B67" i="49"/>
  <c r="B66" i="49"/>
  <c r="B65" i="49"/>
  <c r="B64" i="49"/>
  <c r="B63" i="49"/>
  <c r="B62" i="49"/>
  <c r="B61" i="49"/>
  <c r="B60" i="49"/>
  <c r="B59" i="49"/>
  <c r="B58" i="49"/>
  <c r="B57" i="49"/>
  <c r="B56" i="49"/>
  <c r="D55" i="49"/>
  <c r="C55" i="49"/>
  <c r="B55" i="49"/>
  <c r="B54" i="49"/>
  <c r="B53" i="49"/>
  <c r="B52" i="49"/>
  <c r="B51" i="49"/>
  <c r="B50" i="49"/>
  <c r="B49" i="49"/>
  <c r="B48" i="49"/>
  <c r="B47" i="49"/>
  <c r="B46" i="49"/>
  <c r="B45" i="49"/>
  <c r="B44" i="49"/>
  <c r="B43" i="49"/>
  <c r="B42" i="49"/>
  <c r="B41" i="49"/>
  <c r="B40" i="49"/>
  <c r="B39" i="49"/>
  <c r="B38" i="49"/>
  <c r="C37" i="49"/>
  <c r="B37" i="49"/>
  <c r="D36" i="49"/>
  <c r="C36" i="49"/>
  <c r="C38" i="49" s="1"/>
  <c r="B36" i="49"/>
  <c r="B35" i="49"/>
  <c r="D34" i="49"/>
  <c r="C34" i="49"/>
  <c r="B34" i="49"/>
  <c r="B33" i="49"/>
  <c r="B32" i="49"/>
  <c r="B31" i="49"/>
  <c r="B30" i="49"/>
  <c r="B29" i="49"/>
  <c r="B28" i="49"/>
  <c r="B27" i="49"/>
  <c r="D26" i="49"/>
  <c r="C26" i="49"/>
  <c r="B26" i="49"/>
  <c r="D25" i="49"/>
  <c r="C25" i="49"/>
  <c r="C27" i="49" s="1"/>
  <c r="B25" i="49"/>
  <c r="D24" i="49"/>
  <c r="C24" i="49"/>
  <c r="B24" i="49"/>
  <c r="B23" i="49"/>
  <c r="B22" i="49"/>
  <c r="B21" i="49"/>
  <c r="B20" i="49"/>
  <c r="B19" i="49"/>
  <c r="AJ18" i="49"/>
  <c r="AI18" i="49"/>
  <c r="AH18" i="49"/>
  <c r="AG18" i="49"/>
  <c r="AF18" i="49"/>
  <c r="AE18" i="49"/>
  <c r="AD18" i="49"/>
  <c r="AC18" i="49"/>
  <c r="AB18" i="49"/>
  <c r="AA18" i="49"/>
  <c r="Z18" i="49"/>
  <c r="Y18" i="49"/>
  <c r="X18" i="49"/>
  <c r="W18" i="49"/>
  <c r="V18" i="49"/>
  <c r="U18" i="49"/>
  <c r="T18" i="49"/>
  <c r="S18" i="49"/>
  <c r="R18" i="49"/>
  <c r="Q18" i="49"/>
  <c r="P18" i="49"/>
  <c r="O18" i="49"/>
  <c r="N18" i="49"/>
  <c r="M18" i="49"/>
  <c r="L18" i="49"/>
  <c r="K18" i="49"/>
  <c r="J18" i="49"/>
  <c r="I18" i="49"/>
  <c r="H18" i="49"/>
  <c r="G18" i="49"/>
  <c r="F18" i="49"/>
  <c r="E18" i="49"/>
  <c r="C104" i="49" s="1"/>
  <c r="B18" i="49"/>
  <c r="B17" i="49"/>
  <c r="B16" i="49"/>
  <c r="B15" i="49"/>
  <c r="B14" i="49"/>
  <c r="B13" i="49"/>
  <c r="B11" i="49"/>
  <c r="B10" i="49"/>
  <c r="B9" i="49"/>
  <c r="B8" i="49"/>
  <c r="B6" i="49"/>
  <c r="B5" i="49"/>
  <c r="B4" i="49"/>
  <c r="B3" i="49"/>
  <c r="B1" i="49"/>
  <c r="B210" i="47"/>
  <c r="B209" i="47"/>
  <c r="B208" i="47"/>
  <c r="B207" i="47"/>
  <c r="B206" i="47"/>
  <c r="B205" i="47"/>
  <c r="B204" i="47"/>
  <c r="B203" i="47"/>
  <c r="B202" i="47"/>
  <c r="B201" i="47"/>
  <c r="B200" i="47"/>
  <c r="B199" i="47"/>
  <c r="B198" i="47"/>
  <c r="B197" i="47"/>
  <c r="B196" i="47"/>
  <c r="B195" i="47"/>
  <c r="B194" i="47"/>
  <c r="B193" i="47"/>
  <c r="B192" i="47"/>
  <c r="B191" i="47"/>
  <c r="B190" i="47"/>
  <c r="B189" i="47"/>
  <c r="B188" i="47"/>
  <c r="B187" i="47"/>
  <c r="B186" i="47"/>
  <c r="B185" i="47"/>
  <c r="B184" i="47"/>
  <c r="B183" i="47"/>
  <c r="B182" i="47"/>
  <c r="B181" i="47"/>
  <c r="B180" i="47"/>
  <c r="B179" i="47"/>
  <c r="B178" i="47"/>
  <c r="B177" i="47"/>
  <c r="B176" i="47"/>
  <c r="B175" i="47"/>
  <c r="B174" i="47"/>
  <c r="B173" i="47"/>
  <c r="B172" i="47"/>
  <c r="B171" i="47"/>
  <c r="B170" i="47"/>
  <c r="B169" i="47"/>
  <c r="B168" i="47"/>
  <c r="B167" i="47"/>
  <c r="B166" i="47"/>
  <c r="B165" i="47"/>
  <c r="B164" i="47"/>
  <c r="D55" i="47"/>
  <c r="B163" i="47"/>
  <c r="B162" i="47"/>
  <c r="B161" i="47"/>
  <c r="B160" i="47"/>
  <c r="B159" i="47"/>
  <c r="B158" i="47"/>
  <c r="B157" i="47"/>
  <c r="B156" i="47"/>
  <c r="B155" i="47"/>
  <c r="B153" i="47"/>
  <c r="B152" i="47"/>
  <c r="B151" i="47"/>
  <c r="B150" i="47"/>
  <c r="B148" i="47"/>
  <c r="B147" i="47"/>
  <c r="B146" i="47"/>
  <c r="B145" i="47"/>
  <c r="B143" i="47"/>
  <c r="B142" i="47"/>
  <c r="B141" i="47"/>
  <c r="B140" i="47"/>
  <c r="B139" i="47"/>
  <c r="B138" i="47"/>
  <c r="B137" i="47"/>
  <c r="B136" i="47"/>
  <c r="B135" i="47"/>
  <c r="B134" i="47"/>
  <c r="B133" i="47"/>
  <c r="B132" i="47"/>
  <c r="B131" i="47"/>
  <c r="B129" i="47"/>
  <c r="B128" i="47"/>
  <c r="B127" i="47"/>
  <c r="B126" i="47"/>
  <c r="B124" i="47"/>
  <c r="B123" i="47"/>
  <c r="B122" i="47"/>
  <c r="B121" i="47"/>
  <c r="B120" i="47"/>
  <c r="B118" i="47"/>
  <c r="B117" i="47"/>
  <c r="B116" i="47"/>
  <c r="B115" i="47"/>
  <c r="B114" i="47"/>
  <c r="B113" i="47"/>
  <c r="B112" i="47"/>
  <c r="B110" i="47"/>
  <c r="B109" i="47"/>
  <c r="B108" i="47"/>
  <c r="B107" i="47"/>
  <c r="B106" i="47"/>
  <c r="B105" i="47"/>
  <c r="B104" i="47"/>
  <c r="B102" i="47"/>
  <c r="B101" i="47"/>
  <c r="B100" i="47"/>
  <c r="B99" i="47"/>
  <c r="B98" i="47"/>
  <c r="B97" i="47"/>
  <c r="B96" i="47"/>
  <c r="B95" i="47"/>
  <c r="B94" i="47"/>
  <c r="B93" i="47"/>
  <c r="B92" i="47"/>
  <c r="B91" i="47"/>
  <c r="B90" i="47"/>
  <c r="D89" i="47"/>
  <c r="B89" i="47"/>
  <c r="B88" i="47"/>
  <c r="D87" i="47"/>
  <c r="B87" i="47"/>
  <c r="D86" i="47"/>
  <c r="B86" i="47"/>
  <c r="D85" i="47"/>
  <c r="B85" i="47"/>
  <c r="D84" i="47"/>
  <c r="B84" i="47"/>
  <c r="D83" i="47"/>
  <c r="B83" i="47"/>
  <c r="D82" i="47"/>
  <c r="B82" i="47"/>
  <c r="B81" i="47"/>
  <c r="B80" i="47"/>
  <c r="B79" i="47"/>
  <c r="B78" i="47"/>
  <c r="B77" i="47"/>
  <c r="B76" i="47"/>
  <c r="B75" i="47"/>
  <c r="B74" i="47"/>
  <c r="B73" i="47"/>
  <c r="B72" i="47"/>
  <c r="B71" i="47"/>
  <c r="B70" i="47"/>
  <c r="B69" i="47"/>
  <c r="B68" i="47"/>
  <c r="B67" i="47"/>
  <c r="B66" i="47"/>
  <c r="B65" i="47"/>
  <c r="B64" i="47"/>
  <c r="B63" i="47"/>
  <c r="B62" i="47"/>
  <c r="B61" i="47"/>
  <c r="B60" i="47"/>
  <c r="B59" i="47"/>
  <c r="B58" i="47"/>
  <c r="B57" i="47"/>
  <c r="B56" i="47"/>
  <c r="B55" i="47"/>
  <c r="B54" i="47"/>
  <c r="B53" i="47"/>
  <c r="B52" i="47"/>
  <c r="B51" i="47"/>
  <c r="B50" i="47"/>
  <c r="B49" i="47"/>
  <c r="B48" i="47"/>
  <c r="B47" i="47"/>
  <c r="B46" i="47"/>
  <c r="B45" i="47"/>
  <c r="B44" i="47"/>
  <c r="B43" i="47"/>
  <c r="B42" i="47"/>
  <c r="B41" i="47"/>
  <c r="B40" i="47"/>
  <c r="B39" i="47"/>
  <c r="B38" i="47"/>
  <c r="B37" i="47"/>
  <c r="B36" i="47"/>
  <c r="B35" i="47"/>
  <c r="D34" i="47"/>
  <c r="B34" i="47"/>
  <c r="B33" i="47"/>
  <c r="B32" i="47"/>
  <c r="B31" i="47"/>
  <c r="B30" i="47"/>
  <c r="B29" i="47"/>
  <c r="B28" i="47"/>
  <c r="B27" i="47"/>
  <c r="D26" i="47"/>
  <c r="B26" i="47"/>
  <c r="D25" i="47"/>
  <c r="D27" i="47" s="1"/>
  <c r="B25" i="47"/>
  <c r="D24" i="47"/>
  <c r="B24" i="47"/>
  <c r="B23" i="47"/>
  <c r="B22" i="47"/>
  <c r="B21" i="47"/>
  <c r="B20" i="47"/>
  <c r="B19" i="47"/>
  <c r="AJ18" i="47"/>
  <c r="AI18" i="47"/>
  <c r="AH18" i="47"/>
  <c r="AG18" i="47"/>
  <c r="AF18" i="47"/>
  <c r="AE18" i="47"/>
  <c r="AD18" i="47"/>
  <c r="AC18" i="47"/>
  <c r="AB18" i="47"/>
  <c r="AA18" i="47"/>
  <c r="Z18" i="47"/>
  <c r="Y18" i="47"/>
  <c r="X18" i="47"/>
  <c r="W18" i="47"/>
  <c r="V18" i="47"/>
  <c r="U18" i="47"/>
  <c r="T18" i="47"/>
  <c r="S18" i="47"/>
  <c r="R18" i="47"/>
  <c r="Q18" i="47"/>
  <c r="P18" i="47"/>
  <c r="O18" i="47"/>
  <c r="N18" i="47"/>
  <c r="M18" i="47"/>
  <c r="L18" i="47"/>
  <c r="K18" i="47"/>
  <c r="J18" i="47"/>
  <c r="I18" i="47"/>
  <c r="H18" i="47"/>
  <c r="G18" i="47"/>
  <c r="F18" i="47"/>
  <c r="E18" i="47"/>
  <c r="C104" i="47" s="1"/>
  <c r="B18" i="47"/>
  <c r="B17" i="47"/>
  <c r="B16" i="47"/>
  <c r="B15" i="47"/>
  <c r="B14" i="47"/>
  <c r="B13" i="47"/>
  <c r="B11" i="47"/>
  <c r="B10" i="47"/>
  <c r="B9" i="47"/>
  <c r="B8" i="47"/>
  <c r="B6" i="47"/>
  <c r="B5" i="47"/>
  <c r="B4" i="47"/>
  <c r="B3" i="47"/>
  <c r="B1" i="47"/>
  <c r="B210" i="46"/>
  <c r="C209" i="46"/>
  <c r="B209" i="46"/>
  <c r="C208" i="46"/>
  <c r="B208" i="46"/>
  <c r="C207" i="46"/>
  <c r="B207" i="46"/>
  <c r="B206" i="46"/>
  <c r="B205" i="46"/>
  <c r="C204" i="46"/>
  <c r="B204" i="46"/>
  <c r="C203" i="46"/>
  <c r="B203" i="46"/>
  <c r="C202" i="46"/>
  <c r="B202" i="46"/>
  <c r="C201" i="46"/>
  <c r="B201" i="46"/>
  <c r="C200" i="46"/>
  <c r="B200" i="46"/>
  <c r="C199" i="46"/>
  <c r="B199" i="46"/>
  <c r="C198" i="46"/>
  <c r="B198" i="46"/>
  <c r="C197" i="46"/>
  <c r="B197" i="46"/>
  <c r="C196" i="46"/>
  <c r="B196" i="46"/>
  <c r="C195" i="46"/>
  <c r="B195" i="46"/>
  <c r="C194" i="46"/>
  <c r="B194" i="46"/>
  <c r="C193" i="46"/>
  <c r="B193" i="46"/>
  <c r="C192" i="46"/>
  <c r="B192" i="46"/>
  <c r="C191" i="46"/>
  <c r="B191" i="46"/>
  <c r="C190" i="46"/>
  <c r="B190" i="46"/>
  <c r="B189" i="46"/>
  <c r="B188" i="46"/>
  <c r="B187" i="46"/>
  <c r="B186" i="46"/>
  <c r="C185" i="46"/>
  <c r="B185" i="46"/>
  <c r="C184" i="46"/>
  <c r="B184" i="46"/>
  <c r="C183" i="46"/>
  <c r="B183" i="46"/>
  <c r="C182" i="46"/>
  <c r="B182" i="46"/>
  <c r="B181" i="46"/>
  <c r="C180" i="46"/>
  <c r="B180" i="46"/>
  <c r="C179" i="46"/>
  <c r="B179" i="46"/>
  <c r="C178" i="46"/>
  <c r="B178" i="46"/>
  <c r="C177" i="46"/>
  <c r="B177" i="46"/>
  <c r="C176" i="46"/>
  <c r="B176" i="46"/>
  <c r="C175" i="46"/>
  <c r="B175" i="46"/>
  <c r="C174" i="46"/>
  <c r="D36" i="46" s="1"/>
  <c r="B174" i="46"/>
  <c r="C173" i="46"/>
  <c r="B173" i="46"/>
  <c r="B172" i="46"/>
  <c r="C171" i="46"/>
  <c r="B171" i="46"/>
  <c r="C170" i="46"/>
  <c r="B170" i="46"/>
  <c r="C169" i="46"/>
  <c r="B169" i="46"/>
  <c r="B168" i="46"/>
  <c r="B167" i="46"/>
  <c r="C166" i="46"/>
  <c r="B166" i="46"/>
  <c r="C165" i="46"/>
  <c r="B165" i="46"/>
  <c r="C164" i="46"/>
  <c r="B164" i="46"/>
  <c r="C163" i="46"/>
  <c r="B163" i="46"/>
  <c r="C162" i="46"/>
  <c r="B162" i="46"/>
  <c r="C161" i="46"/>
  <c r="B161" i="46"/>
  <c r="B160" i="46"/>
  <c r="B159" i="46"/>
  <c r="B158" i="46"/>
  <c r="C157" i="46"/>
  <c r="B157" i="46"/>
  <c r="C156" i="46"/>
  <c r="B156" i="46"/>
  <c r="C155" i="46"/>
  <c r="B155" i="46"/>
  <c r="B153" i="46"/>
  <c r="B152" i="46"/>
  <c r="B151" i="46"/>
  <c r="B150" i="46"/>
  <c r="B148" i="46"/>
  <c r="B147" i="46"/>
  <c r="B146" i="46"/>
  <c r="B145" i="46"/>
  <c r="B143" i="46"/>
  <c r="B142" i="46"/>
  <c r="B141" i="46"/>
  <c r="B140" i="46"/>
  <c r="B139" i="46"/>
  <c r="B138" i="46"/>
  <c r="B137" i="46"/>
  <c r="B136" i="46"/>
  <c r="B135" i="46"/>
  <c r="B134" i="46"/>
  <c r="B133" i="46"/>
  <c r="B132" i="46"/>
  <c r="B131" i="46"/>
  <c r="B129" i="46"/>
  <c r="B128" i="46"/>
  <c r="B127" i="46"/>
  <c r="B126" i="46"/>
  <c r="B124" i="46"/>
  <c r="B123" i="46"/>
  <c r="B122" i="46"/>
  <c r="B121" i="46"/>
  <c r="B120" i="46"/>
  <c r="B118" i="46"/>
  <c r="B117" i="46"/>
  <c r="B116" i="46"/>
  <c r="B115" i="46"/>
  <c r="B114" i="46"/>
  <c r="B113" i="46"/>
  <c r="B112" i="46"/>
  <c r="B110" i="46"/>
  <c r="B109" i="46"/>
  <c r="B108" i="46"/>
  <c r="B107" i="46"/>
  <c r="B106" i="46"/>
  <c r="B105" i="46"/>
  <c r="B104" i="46"/>
  <c r="B102" i="46"/>
  <c r="B101" i="46"/>
  <c r="B100" i="46"/>
  <c r="B99" i="46"/>
  <c r="B98" i="46"/>
  <c r="B97" i="46"/>
  <c r="B96" i="46"/>
  <c r="B95" i="46"/>
  <c r="B94" i="46"/>
  <c r="B93" i="46"/>
  <c r="B92" i="46"/>
  <c r="B91" i="46"/>
  <c r="B90" i="46"/>
  <c r="D89" i="46"/>
  <c r="C89" i="46"/>
  <c r="B89" i="46"/>
  <c r="B88" i="46"/>
  <c r="D87" i="46"/>
  <c r="C87" i="46"/>
  <c r="B87" i="46"/>
  <c r="D86" i="46"/>
  <c r="C86" i="46"/>
  <c r="B86" i="46"/>
  <c r="D85" i="46"/>
  <c r="C85" i="46"/>
  <c r="B85" i="46"/>
  <c r="D84" i="46"/>
  <c r="C84" i="46"/>
  <c r="B84" i="46"/>
  <c r="D83" i="46"/>
  <c r="C83" i="46"/>
  <c r="B83" i="46"/>
  <c r="D82" i="46"/>
  <c r="C82" i="46"/>
  <c r="B82" i="46"/>
  <c r="B81" i="46"/>
  <c r="B80" i="46"/>
  <c r="B79" i="46"/>
  <c r="B78" i="46"/>
  <c r="B77" i="46"/>
  <c r="B76" i="46"/>
  <c r="B75" i="46"/>
  <c r="B74" i="46"/>
  <c r="B73" i="46"/>
  <c r="B72" i="46"/>
  <c r="B71" i="46"/>
  <c r="B70" i="46"/>
  <c r="B69" i="46"/>
  <c r="B68" i="46"/>
  <c r="B67" i="46"/>
  <c r="B66" i="46"/>
  <c r="B65" i="46"/>
  <c r="B64" i="46"/>
  <c r="B63" i="46"/>
  <c r="B62" i="46"/>
  <c r="B61" i="46"/>
  <c r="B60" i="46"/>
  <c r="B59" i="46"/>
  <c r="B58" i="46"/>
  <c r="B57" i="46"/>
  <c r="B56" i="46"/>
  <c r="C55" i="46"/>
  <c r="B55" i="46"/>
  <c r="B54" i="46"/>
  <c r="B53" i="46"/>
  <c r="B52" i="46"/>
  <c r="B51" i="46"/>
  <c r="B50" i="46"/>
  <c r="B49" i="46"/>
  <c r="B48" i="46"/>
  <c r="B47" i="46"/>
  <c r="B46" i="46"/>
  <c r="B45" i="46"/>
  <c r="B44" i="46"/>
  <c r="B43" i="46"/>
  <c r="B42" i="46"/>
  <c r="B41" i="46"/>
  <c r="B40" i="46"/>
  <c r="B39" i="46"/>
  <c r="B38" i="46"/>
  <c r="B37" i="46"/>
  <c r="B36" i="46"/>
  <c r="B35" i="46"/>
  <c r="D34" i="46"/>
  <c r="C34" i="46"/>
  <c r="B34" i="46"/>
  <c r="B33" i="46"/>
  <c r="B32" i="46"/>
  <c r="B31" i="46"/>
  <c r="B30" i="46"/>
  <c r="B29" i="46"/>
  <c r="B28" i="46"/>
  <c r="B27" i="46"/>
  <c r="D26" i="46"/>
  <c r="C26" i="46"/>
  <c r="B26" i="46"/>
  <c r="D25" i="46"/>
  <c r="D27" i="46" s="1"/>
  <c r="C25" i="46"/>
  <c r="C27" i="46" s="1"/>
  <c r="B25" i="46"/>
  <c r="D24" i="46"/>
  <c r="C24" i="46"/>
  <c r="B24" i="46"/>
  <c r="B23" i="46"/>
  <c r="B22" i="46"/>
  <c r="B21" i="46"/>
  <c r="B20" i="46"/>
  <c r="B19" i="46"/>
  <c r="AJ18" i="46"/>
  <c r="AI18" i="46"/>
  <c r="AH18" i="46"/>
  <c r="AG18" i="46"/>
  <c r="AF18" i="46"/>
  <c r="AE18" i="46"/>
  <c r="AD18" i="46"/>
  <c r="AC18" i="46"/>
  <c r="AB18" i="46"/>
  <c r="AA18" i="46"/>
  <c r="Z18" i="46"/>
  <c r="Y18" i="46"/>
  <c r="X18" i="46"/>
  <c r="W18" i="46"/>
  <c r="V18" i="46"/>
  <c r="U18" i="46"/>
  <c r="T18" i="46"/>
  <c r="S18" i="46"/>
  <c r="R18" i="46"/>
  <c r="Q18" i="46"/>
  <c r="P18" i="46"/>
  <c r="O18" i="46"/>
  <c r="N18" i="46"/>
  <c r="M18" i="46"/>
  <c r="L18" i="46"/>
  <c r="K18" i="46"/>
  <c r="J18" i="46"/>
  <c r="I18" i="46"/>
  <c r="H18" i="46"/>
  <c r="G18" i="46"/>
  <c r="F18" i="46"/>
  <c r="E18" i="46"/>
  <c r="B18" i="46"/>
  <c r="B17" i="46"/>
  <c r="B16" i="46"/>
  <c r="B15" i="46"/>
  <c r="B14" i="46"/>
  <c r="B13" i="46"/>
  <c r="B11" i="46"/>
  <c r="B10" i="46"/>
  <c r="B9" i="46"/>
  <c r="B8" i="46"/>
  <c r="B6" i="46"/>
  <c r="B5" i="46"/>
  <c r="B4" i="46"/>
  <c r="B3" i="46"/>
  <c r="B1" i="46"/>
  <c r="F18" i="1"/>
  <c r="G18" i="1"/>
  <c r="V18" i="1"/>
  <c r="W18" i="1"/>
  <c r="X18" i="1"/>
  <c r="Y18" i="1"/>
  <c r="Z18" i="1"/>
  <c r="AA18" i="1"/>
  <c r="AB18" i="1"/>
  <c r="AC18" i="1"/>
  <c r="AD18" i="1"/>
  <c r="AE18" i="1"/>
  <c r="AF18" i="1"/>
  <c r="AG18" i="1"/>
  <c r="AH18" i="1"/>
  <c r="AI18" i="1"/>
  <c r="AJ18" i="1"/>
  <c r="E18" i="1"/>
  <c r="B18" i="1"/>
  <c r="C106" i="47" l="1"/>
  <c r="C105" i="47"/>
  <c r="C51" i="47"/>
  <c r="C100" i="47"/>
  <c r="C92" i="50"/>
  <c r="D92" i="47"/>
  <c r="D92" i="49"/>
  <c r="D92" i="46"/>
  <c r="C28" i="46"/>
  <c r="D51" i="47"/>
  <c r="D30" i="47" s="1"/>
  <c r="C93" i="49"/>
  <c r="D100" i="49"/>
  <c r="D27" i="49"/>
  <c r="C92" i="49"/>
  <c r="C28" i="54"/>
  <c r="D113" i="54"/>
  <c r="C104" i="54"/>
  <c r="C106" i="54" s="1"/>
  <c r="D93" i="54"/>
  <c r="C93" i="51"/>
  <c r="D113" i="51"/>
  <c r="D93" i="51"/>
  <c r="C27" i="51"/>
  <c r="C28" i="51"/>
  <c r="C104" i="51"/>
  <c r="D51" i="51" s="1"/>
  <c r="C92" i="51"/>
  <c r="D92" i="50"/>
  <c r="D94" i="50" s="1"/>
  <c r="C93" i="50"/>
  <c r="C94" i="50" s="1"/>
  <c r="C27" i="50"/>
  <c r="C28" i="50"/>
  <c r="D93" i="50"/>
  <c r="D113" i="46"/>
  <c r="D38" i="46"/>
  <c r="D43" i="46"/>
  <c r="C104" i="46"/>
  <c r="C51" i="46" s="1"/>
  <c r="D55" i="46"/>
  <c r="D36" i="47"/>
  <c r="D45" i="47" s="1"/>
  <c r="C43" i="49"/>
  <c r="C55" i="51"/>
  <c r="D92" i="51"/>
  <c r="C93" i="46"/>
  <c r="D43" i="49"/>
  <c r="D43" i="51"/>
  <c r="D55" i="51"/>
  <c r="D93" i="46"/>
  <c r="C92" i="54"/>
  <c r="D38" i="51"/>
  <c r="C100" i="49"/>
  <c r="C109" i="49" s="1"/>
  <c r="D93" i="49"/>
  <c r="D94" i="49" s="1"/>
  <c r="D92" i="54"/>
  <c r="C36" i="46"/>
  <c r="C45" i="46" s="1"/>
  <c r="D43" i="50"/>
  <c r="C92" i="46"/>
  <c r="D93" i="47"/>
  <c r="C93" i="54"/>
  <c r="D38" i="50"/>
  <c r="C100" i="50"/>
  <c r="D100" i="50"/>
  <c r="D51" i="50"/>
  <c r="D30" i="50" s="1"/>
  <c r="C106" i="50"/>
  <c r="C51" i="50"/>
  <c r="C30" i="50" s="1"/>
  <c r="C105" i="50"/>
  <c r="C45" i="50"/>
  <c r="C38" i="50"/>
  <c r="D28" i="50"/>
  <c r="C43" i="50"/>
  <c r="D45" i="50"/>
  <c r="C132" i="50"/>
  <c r="C37" i="50"/>
  <c r="D39" i="50"/>
  <c r="D132" i="50"/>
  <c r="D37" i="50"/>
  <c r="C100" i="51"/>
  <c r="D100" i="51"/>
  <c r="C38" i="51"/>
  <c r="D28" i="51"/>
  <c r="C43" i="51"/>
  <c r="D45" i="51"/>
  <c r="C132" i="51"/>
  <c r="C37" i="51"/>
  <c r="D39" i="51"/>
  <c r="D132" i="51"/>
  <c r="C45" i="51"/>
  <c r="C38" i="54"/>
  <c r="D28" i="54"/>
  <c r="C43" i="54"/>
  <c r="D45" i="54"/>
  <c r="C45" i="54"/>
  <c r="C132" i="54"/>
  <c r="C37" i="54"/>
  <c r="D39" i="54"/>
  <c r="D132" i="54"/>
  <c r="D37" i="54"/>
  <c r="C28" i="49"/>
  <c r="C110" i="49" s="1"/>
  <c r="D38" i="49"/>
  <c r="C45" i="49"/>
  <c r="D113" i="49"/>
  <c r="D28" i="49"/>
  <c r="D45" i="49"/>
  <c r="C105" i="49"/>
  <c r="C39" i="49"/>
  <c r="C132" i="49"/>
  <c r="C51" i="49"/>
  <c r="C106" i="49"/>
  <c r="D132" i="49"/>
  <c r="D37" i="49"/>
  <c r="D51" i="49"/>
  <c r="D30" i="49" s="1"/>
  <c r="D28" i="47"/>
  <c r="C53" i="46"/>
  <c r="C54" i="46" s="1"/>
  <c r="C38" i="46"/>
  <c r="D28" i="46"/>
  <c r="C43" i="46"/>
  <c r="C44" i="46" s="1"/>
  <c r="D45" i="46"/>
  <c r="C132" i="46"/>
  <c r="C37" i="46"/>
  <c r="D39" i="46"/>
  <c r="D132" i="46"/>
  <c r="D37" i="46"/>
  <c r="B161" i="36"/>
  <c r="C161" i="36"/>
  <c r="B161" i="1"/>
  <c r="C161" i="1"/>
  <c r="D100" i="54" l="1"/>
  <c r="C51" i="54"/>
  <c r="C30" i="54" s="1"/>
  <c r="C60" i="54" s="1"/>
  <c r="C100" i="54"/>
  <c r="C110" i="54" s="1"/>
  <c r="D51" i="54"/>
  <c r="D30" i="54" s="1"/>
  <c r="D60" i="54" s="1"/>
  <c r="D94" i="47"/>
  <c r="C95" i="47"/>
  <c r="C52" i="47"/>
  <c r="D37" i="47"/>
  <c r="C30" i="47"/>
  <c r="H22" i="43" s="1"/>
  <c r="D94" i="51"/>
  <c r="C94" i="49"/>
  <c r="D94" i="46"/>
  <c r="D148" i="46" s="1"/>
  <c r="C94" i="51"/>
  <c r="C148" i="51" s="1"/>
  <c r="C94" i="54"/>
  <c r="D94" i="54"/>
  <c r="D100" i="46"/>
  <c r="C100" i="46"/>
  <c r="D51" i="46"/>
  <c r="D30" i="46" s="1"/>
  <c r="D60" i="46" s="1"/>
  <c r="C105" i="46"/>
  <c r="C106" i="46"/>
  <c r="C94" i="46"/>
  <c r="C148" i="46" s="1"/>
  <c r="D132" i="47"/>
  <c r="D38" i="47"/>
  <c r="D60" i="47" s="1"/>
  <c r="C105" i="54"/>
  <c r="C105" i="51"/>
  <c r="C51" i="51"/>
  <c r="C106" i="51"/>
  <c r="D100" i="47"/>
  <c r="C109" i="47" s="1"/>
  <c r="D43" i="47"/>
  <c r="D44" i="47" s="1"/>
  <c r="D60" i="50"/>
  <c r="C110" i="50"/>
  <c r="C109" i="50"/>
  <c r="D95" i="50"/>
  <c r="D52" i="50"/>
  <c r="C60" i="50"/>
  <c r="C39" i="50"/>
  <c r="D44" i="50"/>
  <c r="D53" i="50"/>
  <c r="D54" i="50" s="1"/>
  <c r="D101" i="50" s="1"/>
  <c r="D102" i="50" s="1"/>
  <c r="C44" i="50"/>
  <c r="C53" i="50"/>
  <c r="C54" i="50" s="1"/>
  <c r="C101" i="50" s="1"/>
  <c r="C102" i="50" s="1"/>
  <c r="C95" i="50"/>
  <c r="C52" i="50"/>
  <c r="C148" i="50"/>
  <c r="C95" i="51"/>
  <c r="C52" i="51"/>
  <c r="C44" i="51"/>
  <c r="C53" i="51"/>
  <c r="C54" i="51" s="1"/>
  <c r="C30" i="51"/>
  <c r="D95" i="51"/>
  <c r="D52" i="51"/>
  <c r="D30" i="51"/>
  <c r="D60" i="51" s="1"/>
  <c r="C110" i="51"/>
  <c r="C109" i="51"/>
  <c r="C60" i="51"/>
  <c r="C39" i="51"/>
  <c r="D44" i="51"/>
  <c r="D53" i="51"/>
  <c r="D54" i="51" s="1"/>
  <c r="D101" i="51" s="1"/>
  <c r="D102" i="51" s="1"/>
  <c r="C109" i="54"/>
  <c r="C44" i="54"/>
  <c r="C53" i="54"/>
  <c r="C54" i="54" s="1"/>
  <c r="C39" i="54"/>
  <c r="D44" i="54"/>
  <c r="D53" i="54"/>
  <c r="D54" i="54" s="1"/>
  <c r="C95" i="49"/>
  <c r="C52" i="49"/>
  <c r="C30" i="49"/>
  <c r="C60" i="49" s="1"/>
  <c r="D44" i="49"/>
  <c r="D53" i="49"/>
  <c r="D54" i="49" s="1"/>
  <c r="D101" i="49" s="1"/>
  <c r="D102" i="49" s="1"/>
  <c r="D60" i="49"/>
  <c r="D39" i="49"/>
  <c r="D95" i="49"/>
  <c r="D52" i="49"/>
  <c r="C44" i="49"/>
  <c r="C53" i="49"/>
  <c r="C54" i="49" s="1"/>
  <c r="C101" i="49" s="1"/>
  <c r="C102" i="49" s="1"/>
  <c r="D53" i="47"/>
  <c r="D54" i="47" s="1"/>
  <c r="D101" i="47" s="1"/>
  <c r="D102" i="47" s="1"/>
  <c r="D95" i="47"/>
  <c r="D52" i="47"/>
  <c r="D95" i="46"/>
  <c r="D52" i="46"/>
  <c r="C39" i="46"/>
  <c r="C95" i="46"/>
  <c r="C52" i="46"/>
  <c r="C101" i="46"/>
  <c r="C102" i="46" s="1"/>
  <c r="D44" i="46"/>
  <c r="D53" i="46"/>
  <c r="D54" i="46" s="1"/>
  <c r="D101" i="46" s="1"/>
  <c r="D102" i="46" s="1"/>
  <c r="C110" i="46"/>
  <c r="C109" i="46"/>
  <c r="C30" i="46"/>
  <c r="D24" i="1"/>
  <c r="C24" i="1"/>
  <c r="C101" i="54" l="1"/>
  <c r="C102" i="54" s="1"/>
  <c r="D101" i="54"/>
  <c r="D102" i="54" s="1"/>
  <c r="C52" i="54"/>
  <c r="C68" i="54" s="1"/>
  <c r="C95" i="54"/>
  <c r="C148" i="54" s="1"/>
  <c r="D52" i="54"/>
  <c r="D68" i="54" s="1"/>
  <c r="D95" i="54"/>
  <c r="D96" i="54" s="1"/>
  <c r="C68" i="47"/>
  <c r="C96" i="47"/>
  <c r="C147" i="47"/>
  <c r="C146" i="47"/>
  <c r="C148" i="47"/>
  <c r="C60" i="47"/>
  <c r="C110" i="47"/>
  <c r="D39" i="47"/>
  <c r="C101" i="51"/>
  <c r="C102" i="51" s="1"/>
  <c r="D68" i="50"/>
  <c r="D148" i="50"/>
  <c r="C68" i="50"/>
  <c r="D96" i="50"/>
  <c r="D146" i="50"/>
  <c r="D147" i="50"/>
  <c r="C96" i="50"/>
  <c r="C147" i="50"/>
  <c r="C146" i="50"/>
  <c r="D96" i="51"/>
  <c r="D146" i="51"/>
  <c r="D147" i="51"/>
  <c r="C68" i="51"/>
  <c r="C96" i="51"/>
  <c r="C147" i="51"/>
  <c r="C146" i="51"/>
  <c r="D148" i="51"/>
  <c r="D68" i="51"/>
  <c r="D68" i="49"/>
  <c r="D147" i="49"/>
  <c r="D96" i="49"/>
  <c r="D146" i="49"/>
  <c r="C68" i="49"/>
  <c r="C96" i="49"/>
  <c r="C147" i="49"/>
  <c r="C146" i="49"/>
  <c r="D148" i="49"/>
  <c r="C148" i="49"/>
  <c r="D96" i="47"/>
  <c r="D147" i="47"/>
  <c r="D146" i="47"/>
  <c r="D68" i="47"/>
  <c r="D148" i="47"/>
  <c r="C60" i="46"/>
  <c r="D68" i="46"/>
  <c r="C68" i="46"/>
  <c r="C96" i="46"/>
  <c r="C146" i="46"/>
  <c r="C147" i="46"/>
  <c r="D96" i="46"/>
  <c r="D146" i="46"/>
  <c r="D147" i="46"/>
  <c r="B21" i="1"/>
  <c r="B20" i="1"/>
  <c r="B1" i="1"/>
  <c r="C96" i="54" l="1"/>
  <c r="C147" i="54"/>
  <c r="C146" i="54"/>
  <c r="D148" i="54"/>
  <c r="D146" i="54"/>
  <c r="D147" i="54"/>
  <c r="B207" i="36"/>
  <c r="C207" i="36"/>
  <c r="B207" i="1"/>
  <c r="C207" i="1"/>
  <c r="D75" i="50"/>
  <c r="C122" i="51"/>
  <c r="C122" i="47"/>
  <c r="D75" i="51"/>
  <c r="D122" i="49"/>
  <c r="C122" i="50"/>
  <c r="D75" i="47"/>
  <c r="C75" i="54"/>
  <c r="D122" i="54"/>
  <c r="C75" i="51"/>
  <c r="D75" i="49"/>
  <c r="D75" i="46"/>
  <c r="C75" i="49"/>
  <c r="D122" i="50"/>
  <c r="C75" i="50"/>
  <c r="C122" i="49"/>
  <c r="D122" i="47"/>
  <c r="D122" i="51"/>
  <c r="D122" i="46"/>
  <c r="C122" i="54"/>
  <c r="C75" i="47"/>
  <c r="D75" i="54"/>
  <c r="C75" i="46"/>
  <c r="C122" i="46"/>
  <c r="D76" i="54" l="1"/>
  <c r="D77" i="54" s="1"/>
  <c r="D76" i="46"/>
  <c r="D77" i="46" s="1"/>
  <c r="C76" i="51"/>
  <c r="C77" i="51" s="1"/>
  <c r="C76" i="54"/>
  <c r="C77" i="54" s="1"/>
  <c r="C76" i="46"/>
  <c r="C77" i="46" s="1"/>
  <c r="D76" i="47"/>
  <c r="D77" i="47" s="1"/>
  <c r="C76" i="50"/>
  <c r="C77" i="50" s="1"/>
  <c r="C76" i="47"/>
  <c r="C77" i="47" s="1"/>
  <c r="D76" i="51"/>
  <c r="D77" i="51" s="1"/>
  <c r="D76" i="50"/>
  <c r="D77" i="50" s="1"/>
  <c r="D76" i="49"/>
  <c r="D77" i="49" s="1"/>
  <c r="C76" i="49"/>
  <c r="C77" i="49" s="1"/>
  <c r="B210" i="36"/>
  <c r="C209" i="36"/>
  <c r="B209" i="36"/>
  <c r="B208" i="36"/>
  <c r="B206" i="36"/>
  <c r="B205" i="36"/>
  <c r="B206" i="1"/>
  <c r="B205" i="1"/>
  <c r="C59" i="22"/>
  <c r="C204" i="36"/>
  <c r="B204" i="36"/>
  <c r="C204" i="1"/>
  <c r="B204" i="1"/>
  <c r="C124" i="49"/>
  <c r="D124" i="47"/>
  <c r="C124" i="47"/>
  <c r="D124" i="49"/>
  <c r="C124" i="51"/>
  <c r="C124" i="50"/>
  <c r="D124" i="54"/>
  <c r="D124" i="50"/>
  <c r="D124" i="46"/>
  <c r="D124" i="51"/>
  <c r="C124" i="54"/>
  <c r="C124" i="46"/>
  <c r="C205" i="48" l="1"/>
  <c r="C205" i="36"/>
  <c r="C205" i="43"/>
  <c r="C205" i="44"/>
  <c r="C205" i="47"/>
  <c r="C205" i="54"/>
  <c r="C205" i="50"/>
  <c r="C205" i="46"/>
  <c r="C205" i="51"/>
  <c r="C205" i="49"/>
  <c r="C205" i="1"/>
  <c r="B21" i="25"/>
  <c r="B210" i="1"/>
  <c r="C209" i="1"/>
  <c r="B209" i="1"/>
  <c r="C64" i="22"/>
  <c r="C210" i="48" l="1"/>
  <c r="C210" i="43"/>
  <c r="C210" i="44"/>
  <c r="C210" i="47"/>
  <c r="C101" i="47" s="1"/>
  <c r="C102" i="47" s="1"/>
  <c r="C210" i="50"/>
  <c r="C210" i="51"/>
  <c r="C210" i="54"/>
  <c r="C210" i="49"/>
  <c r="C210" i="46"/>
  <c r="C210" i="36"/>
  <c r="C210" i="1"/>
  <c r="C13" i="22"/>
  <c r="C12" i="22"/>
  <c r="C158" i="49" l="1"/>
  <c r="C158" i="54"/>
  <c r="C158" i="51"/>
  <c r="C158" i="46"/>
  <c r="C158" i="50"/>
  <c r="C159" i="51"/>
  <c r="C159" i="46"/>
  <c r="C159" i="50"/>
  <c r="C159" i="54"/>
  <c r="C159" i="49"/>
  <c r="C144" i="22"/>
  <c r="C143" i="22"/>
  <c r="C136" i="22"/>
  <c r="C133" i="22"/>
  <c r="C129" i="22"/>
  <c r="C125" i="22"/>
  <c r="C126" i="22" s="1"/>
  <c r="C98" i="22"/>
  <c r="C94" i="22"/>
  <c r="C69" i="22"/>
  <c r="C62" i="22"/>
  <c r="C57" i="22"/>
  <c r="C56" i="22"/>
  <c r="C54" i="22"/>
  <c r="C52" i="22"/>
  <c r="C51" i="22"/>
  <c r="C50" i="22"/>
  <c r="C49" i="22"/>
  <c r="C48" i="22"/>
  <c r="C47" i="22"/>
  <c r="C44" i="22"/>
  <c r="C42" i="22"/>
  <c r="C40" i="22"/>
  <c r="C39" i="22"/>
  <c r="C35" i="22"/>
  <c r="C29" i="22"/>
  <c r="C27" i="22"/>
  <c r="C17" i="22"/>
  <c r="C16" i="22"/>
  <c r="C21" i="22" s="1"/>
  <c r="C10" i="22"/>
  <c r="C41" i="22" s="1"/>
  <c r="C82" i="22"/>
  <c r="C83" i="22"/>
  <c r="C167" i="48" l="1"/>
  <c r="C167" i="43"/>
  <c r="C167" i="44"/>
  <c r="C167" i="47"/>
  <c r="C167" i="51"/>
  <c r="C167" i="49"/>
  <c r="C167" i="54"/>
  <c r="C167" i="50"/>
  <c r="C167" i="46"/>
  <c r="C181" i="49"/>
  <c r="C181" i="54"/>
  <c r="C181" i="51"/>
  <c r="C181" i="46"/>
  <c r="C181" i="50"/>
  <c r="C188" i="50"/>
  <c r="C188" i="49"/>
  <c r="C188" i="46"/>
  <c r="C188" i="51"/>
  <c r="C188" i="54"/>
  <c r="C186" i="46"/>
  <c r="C186" i="51"/>
  <c r="C186" i="54"/>
  <c r="C186" i="50"/>
  <c r="C186" i="49"/>
  <c r="C187" i="46"/>
  <c r="C187" i="50"/>
  <c r="C187" i="49"/>
  <c r="C187" i="51"/>
  <c r="C187" i="54"/>
  <c r="C208" i="36"/>
  <c r="C43" i="22"/>
  <c r="C100" i="22"/>
  <c r="C99" i="22"/>
  <c r="C95" i="22"/>
  <c r="C22" i="22"/>
  <c r="C96" i="22"/>
  <c r="C14" i="22"/>
  <c r="C26" i="22"/>
  <c r="C85" i="22"/>
  <c r="C189" i="48" l="1"/>
  <c r="C168" i="48"/>
  <c r="C172" i="48"/>
  <c r="C172" i="43"/>
  <c r="C172" i="44"/>
  <c r="C172" i="47"/>
  <c r="C172" i="54"/>
  <c r="C172" i="49"/>
  <c r="C172" i="50"/>
  <c r="C172" i="51"/>
  <c r="C172" i="46"/>
  <c r="D135" i="48"/>
  <c r="D137" i="48" s="1"/>
  <c r="D136" i="48"/>
  <c r="D140" i="48" s="1"/>
  <c r="C135" i="48"/>
  <c r="C90" i="48"/>
  <c r="D90" i="48"/>
  <c r="D133" i="48"/>
  <c r="C133" i="48"/>
  <c r="C91" i="48"/>
  <c r="D91" i="48"/>
  <c r="C114" i="48"/>
  <c r="D114" i="48"/>
  <c r="D50" i="48"/>
  <c r="C50" i="48"/>
  <c r="C61" i="48"/>
  <c r="C107" i="48"/>
  <c r="C65" i="48"/>
  <c r="D65" i="48"/>
  <c r="D61" i="48"/>
  <c r="C189" i="43"/>
  <c r="C114" i="43" s="1"/>
  <c r="C189" i="44"/>
  <c r="C189" i="47"/>
  <c r="D136" i="47" s="1"/>
  <c r="D140" i="47" s="1"/>
  <c r="C189" i="51"/>
  <c r="C135" i="51" s="1"/>
  <c r="C189" i="49"/>
  <c r="D90" i="49" s="1"/>
  <c r="C189" i="54"/>
  <c r="D136" i="54" s="1"/>
  <c r="D140" i="54" s="1"/>
  <c r="C189" i="50"/>
  <c r="C189" i="46"/>
  <c r="D133" i="46" s="1"/>
  <c r="C109" i="22"/>
  <c r="C168" i="43"/>
  <c r="C168" i="44"/>
  <c r="C168" i="47"/>
  <c r="C168" i="54"/>
  <c r="C168" i="50"/>
  <c r="C168" i="46"/>
  <c r="C168" i="51"/>
  <c r="C168" i="49"/>
  <c r="C60" i="22"/>
  <c r="C104" i="22"/>
  <c r="C114" i="46"/>
  <c r="C91" i="46"/>
  <c r="C114" i="54"/>
  <c r="C135" i="49"/>
  <c r="D91" i="49"/>
  <c r="D136" i="50"/>
  <c r="D140" i="50" s="1"/>
  <c r="D114" i="50"/>
  <c r="C114" i="50"/>
  <c r="D135" i="50"/>
  <c r="D137" i="50" s="1"/>
  <c r="C135" i="50"/>
  <c r="C90" i="50"/>
  <c r="C133" i="50"/>
  <c r="D133" i="50"/>
  <c r="D90" i="50"/>
  <c r="C91" i="50"/>
  <c r="D91" i="50"/>
  <c r="D90" i="47"/>
  <c r="C160" i="46"/>
  <c r="C160" i="50"/>
  <c r="C160" i="54"/>
  <c r="C160" i="49"/>
  <c r="C160" i="51"/>
  <c r="C113" i="22"/>
  <c r="C122" i="22"/>
  <c r="C118" i="22"/>
  <c r="D133" i="49" l="1"/>
  <c r="C114" i="49"/>
  <c r="C90" i="49"/>
  <c r="C133" i="49"/>
  <c r="D136" i="49"/>
  <c r="D140" i="49" s="1"/>
  <c r="D114" i="49"/>
  <c r="D115" i="49" s="1"/>
  <c r="D135" i="49"/>
  <c r="D137" i="49" s="1"/>
  <c r="C91" i="49"/>
  <c r="C206" i="48"/>
  <c r="D90" i="51"/>
  <c r="D135" i="51"/>
  <c r="D137" i="51" s="1"/>
  <c r="D90" i="54"/>
  <c r="C133" i="54"/>
  <c r="C90" i="54"/>
  <c r="D135" i="54"/>
  <c r="D137" i="54" s="1"/>
  <c r="D133" i="51"/>
  <c r="D133" i="54"/>
  <c r="D136" i="51"/>
  <c r="D140" i="51" s="1"/>
  <c r="D141" i="51" s="1"/>
  <c r="D152" i="51" s="1"/>
  <c r="D114" i="54"/>
  <c r="C91" i="51"/>
  <c r="C114" i="51"/>
  <c r="C91" i="54"/>
  <c r="C135" i="54"/>
  <c r="C136" i="54" s="1"/>
  <c r="C140" i="54" s="1"/>
  <c r="D91" i="51"/>
  <c r="C90" i="51"/>
  <c r="D91" i="54"/>
  <c r="C133" i="51"/>
  <c r="D114" i="51"/>
  <c r="D116" i="48"/>
  <c r="D117" i="48" s="1"/>
  <c r="D115" i="48"/>
  <c r="D67" i="48"/>
  <c r="D71" i="48"/>
  <c r="D70" i="48"/>
  <c r="D63" i="48"/>
  <c r="D64" i="48" s="1"/>
  <c r="D97" i="48" s="1"/>
  <c r="D98" i="48" s="1"/>
  <c r="C115" i="48"/>
  <c r="C116" i="48"/>
  <c r="C117" i="48" s="1"/>
  <c r="C136" i="48"/>
  <c r="C140" i="48" s="1"/>
  <c r="C137" i="48"/>
  <c r="C70" i="48"/>
  <c r="C71" i="48"/>
  <c r="C63" i="48"/>
  <c r="C64" i="48" s="1"/>
  <c r="C97" i="48" s="1"/>
  <c r="C98" i="48" s="1"/>
  <c r="C67" i="48"/>
  <c r="D141" i="48"/>
  <c r="D152" i="48" s="1"/>
  <c r="D127" i="48"/>
  <c r="C108" i="48"/>
  <c r="D128" i="48"/>
  <c r="C127" i="48"/>
  <c r="C128" i="48"/>
  <c r="D138" i="48"/>
  <c r="D139" i="48" s="1"/>
  <c r="D151" i="48" s="1"/>
  <c r="D153" i="48"/>
  <c r="D133" i="47"/>
  <c r="C133" i="46"/>
  <c r="D135" i="46"/>
  <c r="D137" i="46" s="1"/>
  <c r="D114" i="47"/>
  <c r="D116" i="47" s="1"/>
  <c r="D117" i="47" s="1"/>
  <c r="D135" i="47"/>
  <c r="D137" i="47" s="1"/>
  <c r="D153" i="47" s="1"/>
  <c r="C90" i="46"/>
  <c r="D91" i="47"/>
  <c r="D114" i="46"/>
  <c r="D116" i="46" s="1"/>
  <c r="D117" i="46" s="1"/>
  <c r="D91" i="46"/>
  <c r="C135" i="46"/>
  <c r="C50" i="54"/>
  <c r="D61" i="54"/>
  <c r="D50" i="54"/>
  <c r="C107" i="54"/>
  <c r="C61" i="54"/>
  <c r="D65" i="54"/>
  <c r="C65" i="54"/>
  <c r="C114" i="47"/>
  <c r="C135" i="47"/>
  <c r="C133" i="47"/>
  <c r="C90" i="47"/>
  <c r="C91" i="47"/>
  <c r="C50" i="47"/>
  <c r="D50" i="47"/>
  <c r="C107" i="47"/>
  <c r="D65" i="47"/>
  <c r="C65" i="47"/>
  <c r="D61" i="47"/>
  <c r="C61" i="47"/>
  <c r="C206" i="43"/>
  <c r="C206" i="44"/>
  <c r="C206" i="47"/>
  <c r="C206" i="50"/>
  <c r="C206" i="46"/>
  <c r="C206" i="51"/>
  <c r="C206" i="49"/>
  <c r="C206" i="54"/>
  <c r="C206" i="36"/>
  <c r="C206" i="1"/>
  <c r="D90" i="46"/>
  <c r="D136" i="46"/>
  <c r="D140" i="46" s="1"/>
  <c r="D141" i="46" s="1"/>
  <c r="D152" i="46" s="1"/>
  <c r="C50" i="49"/>
  <c r="D50" i="49"/>
  <c r="C65" i="49"/>
  <c r="C107" i="49"/>
  <c r="C61" i="49"/>
  <c r="D65" i="49"/>
  <c r="D61" i="49"/>
  <c r="C50" i="51"/>
  <c r="C65" i="51"/>
  <c r="C107" i="51"/>
  <c r="D50" i="51"/>
  <c r="D65" i="51"/>
  <c r="C61" i="51"/>
  <c r="D61" i="51"/>
  <c r="D136" i="44"/>
  <c r="D140" i="44" s="1"/>
  <c r="C90" i="44"/>
  <c r="D135" i="44"/>
  <c r="D137" i="44" s="1"/>
  <c r="C114" i="44"/>
  <c r="C135" i="44"/>
  <c r="D114" i="44"/>
  <c r="D90" i="44"/>
  <c r="D133" i="44"/>
  <c r="C133" i="44"/>
  <c r="C91" i="44"/>
  <c r="D91" i="44"/>
  <c r="D50" i="46"/>
  <c r="C50" i="46"/>
  <c r="C65" i="46"/>
  <c r="D65" i="46"/>
  <c r="D61" i="46"/>
  <c r="C107" i="46"/>
  <c r="C61" i="46"/>
  <c r="D50" i="44"/>
  <c r="C50" i="44"/>
  <c r="C107" i="44"/>
  <c r="D65" i="44"/>
  <c r="C65" i="44"/>
  <c r="C61" i="44"/>
  <c r="D61" i="44"/>
  <c r="D50" i="50"/>
  <c r="C50" i="50"/>
  <c r="C107" i="50"/>
  <c r="D61" i="50"/>
  <c r="C61" i="50"/>
  <c r="C65" i="50"/>
  <c r="D65" i="50"/>
  <c r="D50" i="43"/>
  <c r="C50" i="43"/>
  <c r="C107" i="43"/>
  <c r="D61" i="43"/>
  <c r="C65" i="43"/>
  <c r="D65" i="43"/>
  <c r="C61" i="43"/>
  <c r="D135" i="43"/>
  <c r="D137" i="43" s="1"/>
  <c r="C90" i="43"/>
  <c r="D136" i="43"/>
  <c r="D140" i="43" s="1"/>
  <c r="C135" i="43"/>
  <c r="D90" i="43"/>
  <c r="C133" i="43"/>
  <c r="D133" i="43"/>
  <c r="C91" i="43"/>
  <c r="D91" i="43"/>
  <c r="D114" i="43"/>
  <c r="D138" i="49"/>
  <c r="D139" i="49" s="1"/>
  <c r="D151" i="49" s="1"/>
  <c r="D153" i="49"/>
  <c r="D115" i="51"/>
  <c r="D116" i="51"/>
  <c r="D117" i="51" s="1"/>
  <c r="C115" i="50"/>
  <c r="C116" i="50"/>
  <c r="C117" i="50" s="1"/>
  <c r="C116" i="49"/>
  <c r="C117" i="49" s="1"/>
  <c r="C115" i="49"/>
  <c r="C136" i="51"/>
  <c r="C140" i="51" s="1"/>
  <c r="C137" i="51"/>
  <c r="D141" i="47"/>
  <c r="D152" i="47" s="1"/>
  <c r="D115" i="50"/>
  <c r="D116" i="50"/>
  <c r="D117" i="50" s="1"/>
  <c r="D141" i="54"/>
  <c r="D152" i="54" s="1"/>
  <c r="D141" i="50"/>
  <c r="D152" i="50" s="1"/>
  <c r="D141" i="49"/>
  <c r="D152" i="49" s="1"/>
  <c r="D138" i="54"/>
  <c r="D139" i="54" s="1"/>
  <c r="D151" i="54" s="1"/>
  <c r="D153" i="54"/>
  <c r="D153" i="51"/>
  <c r="D138" i="51"/>
  <c r="D139" i="51" s="1"/>
  <c r="D151" i="51" s="1"/>
  <c r="D138" i="50"/>
  <c r="D139" i="50" s="1"/>
  <c r="D151" i="50" s="1"/>
  <c r="D153" i="50"/>
  <c r="C115" i="54"/>
  <c r="C116" i="54"/>
  <c r="C117" i="54" s="1"/>
  <c r="C115" i="51"/>
  <c r="C116" i="51"/>
  <c r="C117" i="51" s="1"/>
  <c r="D138" i="46"/>
  <c r="D139" i="46" s="1"/>
  <c r="D151" i="46" s="1"/>
  <c r="D153" i="46"/>
  <c r="D115" i="47"/>
  <c r="C136" i="49"/>
  <c r="C140" i="49" s="1"/>
  <c r="C137" i="49"/>
  <c r="C136" i="46"/>
  <c r="C140" i="46" s="1"/>
  <c r="C137" i="46"/>
  <c r="D138" i="47"/>
  <c r="D139" i="47" s="1"/>
  <c r="D151" i="47" s="1"/>
  <c r="D115" i="54"/>
  <c r="D116" i="54"/>
  <c r="D117" i="54" s="1"/>
  <c r="C136" i="50"/>
  <c r="C140" i="50" s="1"/>
  <c r="C137" i="50"/>
  <c r="C116" i="46"/>
  <c r="C117" i="46" s="1"/>
  <c r="C115" i="46"/>
  <c r="C208" i="1"/>
  <c r="B208" i="1"/>
  <c r="C203" i="1"/>
  <c r="B203" i="1"/>
  <c r="C202" i="1"/>
  <c r="B202" i="1"/>
  <c r="C201" i="1"/>
  <c r="B201" i="1"/>
  <c r="B200" i="1"/>
  <c r="C199" i="1"/>
  <c r="B199" i="1"/>
  <c r="C198" i="1"/>
  <c r="B198" i="1"/>
  <c r="C197" i="1"/>
  <c r="B197" i="1"/>
  <c r="C196" i="1"/>
  <c r="B196" i="1"/>
  <c r="B195" i="1"/>
  <c r="C194" i="1"/>
  <c r="B194" i="1"/>
  <c r="C193" i="1"/>
  <c r="B193" i="1"/>
  <c r="C192" i="1"/>
  <c r="B192" i="1"/>
  <c r="C191" i="1"/>
  <c r="B191" i="1"/>
  <c r="C190" i="1"/>
  <c r="B190" i="1"/>
  <c r="C189" i="1"/>
  <c r="B189" i="1"/>
  <c r="C188" i="1"/>
  <c r="B188" i="1"/>
  <c r="C187" i="1"/>
  <c r="B187" i="1"/>
  <c r="C186" i="1"/>
  <c r="B186" i="1"/>
  <c r="C185" i="1"/>
  <c r="B185" i="1"/>
  <c r="C184" i="1"/>
  <c r="B184" i="1"/>
  <c r="C183" i="1"/>
  <c r="B183" i="1"/>
  <c r="C182" i="1"/>
  <c r="B182" i="1"/>
  <c r="B181" i="1"/>
  <c r="C180" i="1"/>
  <c r="B180" i="1"/>
  <c r="C179" i="1"/>
  <c r="B179" i="1"/>
  <c r="C178" i="1"/>
  <c r="B178" i="1"/>
  <c r="C177" i="1"/>
  <c r="B177" i="1"/>
  <c r="C176" i="1"/>
  <c r="B176" i="1"/>
  <c r="C175" i="1"/>
  <c r="B175" i="1"/>
  <c r="C174" i="1"/>
  <c r="C104" i="1" s="1"/>
  <c r="B174" i="1"/>
  <c r="C173" i="1"/>
  <c r="B173" i="1"/>
  <c r="C172" i="1"/>
  <c r="B172" i="1"/>
  <c r="C171" i="1"/>
  <c r="B171" i="1"/>
  <c r="C170" i="1"/>
  <c r="B170" i="1"/>
  <c r="C169" i="1"/>
  <c r="B169" i="1"/>
  <c r="C168" i="1"/>
  <c r="B168" i="1"/>
  <c r="C167" i="1"/>
  <c r="B167" i="1"/>
  <c r="C166" i="1"/>
  <c r="B166" i="1"/>
  <c r="C165" i="1"/>
  <c r="B165" i="1"/>
  <c r="C164" i="1"/>
  <c r="B164" i="1"/>
  <c r="C163" i="1"/>
  <c r="B163" i="1"/>
  <c r="C162" i="1"/>
  <c r="B162" i="1"/>
  <c r="B160" i="1"/>
  <c r="B159" i="1"/>
  <c r="B158" i="1"/>
  <c r="C157" i="1"/>
  <c r="B157" i="1"/>
  <c r="C156" i="1"/>
  <c r="B156" i="1"/>
  <c r="C155" i="1"/>
  <c r="B155" i="1"/>
  <c r="B153" i="1"/>
  <c r="B152" i="1"/>
  <c r="B151" i="1"/>
  <c r="B150" i="1"/>
  <c r="B148" i="1"/>
  <c r="B147" i="1"/>
  <c r="B146" i="1"/>
  <c r="B145" i="1"/>
  <c r="B143" i="1"/>
  <c r="B142" i="1"/>
  <c r="B141" i="1"/>
  <c r="B140" i="1"/>
  <c r="B139" i="1"/>
  <c r="B138" i="1"/>
  <c r="B137" i="1"/>
  <c r="B136" i="1"/>
  <c r="B135" i="1"/>
  <c r="B134" i="1"/>
  <c r="B133" i="1"/>
  <c r="B132" i="1"/>
  <c r="B131" i="1"/>
  <c r="B129" i="1"/>
  <c r="B128" i="1"/>
  <c r="B127" i="1"/>
  <c r="B126" i="1"/>
  <c r="B124" i="1"/>
  <c r="B123" i="1"/>
  <c r="B122" i="1"/>
  <c r="B121" i="1"/>
  <c r="B120" i="1"/>
  <c r="B118" i="1"/>
  <c r="B117" i="1"/>
  <c r="B116" i="1"/>
  <c r="B115" i="1"/>
  <c r="B114" i="1"/>
  <c r="B113" i="1"/>
  <c r="B112" i="1"/>
  <c r="B110" i="1"/>
  <c r="B109" i="1"/>
  <c r="B108" i="1"/>
  <c r="B107" i="1"/>
  <c r="B106" i="1"/>
  <c r="B105" i="1"/>
  <c r="B104" i="1"/>
  <c r="B102" i="1"/>
  <c r="B101" i="1"/>
  <c r="B100" i="1"/>
  <c r="B99" i="1"/>
  <c r="B98" i="1"/>
  <c r="B97" i="1"/>
  <c r="B96" i="1"/>
  <c r="B95" i="1"/>
  <c r="B94" i="1"/>
  <c r="B93" i="1"/>
  <c r="B92" i="1"/>
  <c r="B91" i="1"/>
  <c r="B90" i="1"/>
  <c r="D89" i="1"/>
  <c r="C89" i="1"/>
  <c r="B89" i="1"/>
  <c r="B88" i="1"/>
  <c r="D87" i="1"/>
  <c r="C87" i="1"/>
  <c r="B87" i="1"/>
  <c r="D86" i="1"/>
  <c r="C86" i="1"/>
  <c r="B86" i="1"/>
  <c r="D85" i="1"/>
  <c r="C85" i="1"/>
  <c r="B85" i="1"/>
  <c r="D84" i="1"/>
  <c r="C84" i="1"/>
  <c r="B84" i="1"/>
  <c r="D83" i="1"/>
  <c r="C83" i="1"/>
  <c r="B83" i="1"/>
  <c r="D82" i="1"/>
  <c r="C82"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5" i="1"/>
  <c r="D34" i="1"/>
  <c r="C34" i="1"/>
  <c r="B34" i="1"/>
  <c r="B33" i="1"/>
  <c r="B32" i="1"/>
  <c r="B37" i="1"/>
  <c r="B36" i="1"/>
  <c r="B30" i="1"/>
  <c r="B29" i="1"/>
  <c r="B31" i="1"/>
  <c r="B28" i="1"/>
  <c r="B27" i="1"/>
  <c r="D26" i="1"/>
  <c r="C26" i="1"/>
  <c r="B26" i="1"/>
  <c r="D25" i="1"/>
  <c r="C25" i="1"/>
  <c r="B25" i="1"/>
  <c r="B24" i="1"/>
  <c r="B23" i="1"/>
  <c r="B22" i="1"/>
  <c r="B19" i="1"/>
  <c r="B17" i="1"/>
  <c r="B16" i="1"/>
  <c r="B15" i="1"/>
  <c r="B14" i="1"/>
  <c r="B13" i="1"/>
  <c r="B11" i="1"/>
  <c r="B10" i="1"/>
  <c r="B9" i="1"/>
  <c r="B8" i="1"/>
  <c r="B6" i="1"/>
  <c r="B5" i="1"/>
  <c r="B4" i="1"/>
  <c r="B3" i="1"/>
  <c r="C137" i="54" l="1"/>
  <c r="D99" i="48"/>
  <c r="D79" i="48" s="1"/>
  <c r="D116" i="49"/>
  <c r="D117" i="49" s="1"/>
  <c r="D115" i="46"/>
  <c r="C99" i="48"/>
  <c r="C79" i="48" s="1"/>
  <c r="C118" i="48"/>
  <c r="D118" i="48"/>
  <c r="D142" i="48"/>
  <c r="D143" i="48" s="1"/>
  <c r="C153" i="48"/>
  <c r="C138" i="48"/>
  <c r="C139" i="48" s="1"/>
  <c r="C151" i="48" s="1"/>
  <c r="D72" i="48"/>
  <c r="D66" i="48"/>
  <c r="C141" i="48"/>
  <c r="C152" i="48" s="1"/>
  <c r="C129" i="48"/>
  <c r="C72" i="48"/>
  <c r="C66" i="48"/>
  <c r="C57" i="48"/>
  <c r="C69" i="48" s="1"/>
  <c r="D129" i="48"/>
  <c r="D57" i="48"/>
  <c r="D69" i="48" s="1"/>
  <c r="D142" i="49"/>
  <c r="D71" i="43"/>
  <c r="D70" i="43"/>
  <c r="D63" i="43"/>
  <c r="D64" i="43" s="1"/>
  <c r="D97" i="43" s="1"/>
  <c r="D98" i="43" s="1"/>
  <c r="D67" i="43"/>
  <c r="D67" i="50"/>
  <c r="D57" i="50" s="1"/>
  <c r="D69" i="50" s="1"/>
  <c r="D70" i="50"/>
  <c r="D63" i="50"/>
  <c r="D64" i="50" s="1"/>
  <c r="D97" i="50" s="1"/>
  <c r="D71" i="50"/>
  <c r="C127" i="46"/>
  <c r="D127" i="46"/>
  <c r="C128" i="46"/>
  <c r="C108" i="46"/>
  <c r="D128" i="46"/>
  <c r="C136" i="44"/>
  <c r="C140" i="44" s="1"/>
  <c r="C137" i="44"/>
  <c r="D70" i="51"/>
  <c r="D63" i="51"/>
  <c r="D64" i="51" s="1"/>
  <c r="D97" i="51" s="1"/>
  <c r="D118" i="51" s="1"/>
  <c r="D71" i="51"/>
  <c r="D67" i="51"/>
  <c r="D57" i="51" s="1"/>
  <c r="D69" i="51" s="1"/>
  <c r="C116" i="47"/>
  <c r="C117" i="47" s="1"/>
  <c r="C115" i="47"/>
  <c r="C115" i="44"/>
  <c r="C116" i="44"/>
  <c r="C117" i="44" s="1"/>
  <c r="C67" i="43"/>
  <c r="C69" i="43" s="1"/>
  <c r="C71" i="43"/>
  <c r="C70" i="43"/>
  <c r="C63" i="43"/>
  <c r="C64" i="43" s="1"/>
  <c r="C97" i="43" s="1"/>
  <c r="D70" i="44"/>
  <c r="D63" i="44"/>
  <c r="D64" i="44" s="1"/>
  <c r="D97" i="44" s="1"/>
  <c r="D99" i="44" s="1"/>
  <c r="D79" i="44" s="1"/>
  <c r="D71" i="44"/>
  <c r="D67" i="44"/>
  <c r="D70" i="46"/>
  <c r="D63" i="46"/>
  <c r="D64" i="46" s="1"/>
  <c r="D97" i="46" s="1"/>
  <c r="D99" i="46" s="1"/>
  <c r="D79" i="46" s="1"/>
  <c r="D71" i="46"/>
  <c r="D67" i="46"/>
  <c r="D57" i="46" s="1"/>
  <c r="D69" i="46" s="1"/>
  <c r="D138" i="44"/>
  <c r="D139" i="44" s="1"/>
  <c r="D151" i="44" s="1"/>
  <c r="D153" i="44"/>
  <c r="C108" i="51"/>
  <c r="D128" i="51"/>
  <c r="C128" i="51"/>
  <c r="C127" i="51"/>
  <c r="D127" i="51"/>
  <c r="D70" i="49"/>
  <c r="D67" i="49"/>
  <c r="D63" i="49"/>
  <c r="D64" i="49" s="1"/>
  <c r="D97" i="49" s="1"/>
  <c r="D71" i="49"/>
  <c r="C67" i="47"/>
  <c r="C57" i="47" s="1"/>
  <c r="C69" i="47" s="1"/>
  <c r="C71" i="47"/>
  <c r="C70" i="47"/>
  <c r="C63" i="47"/>
  <c r="C64" i="47" s="1"/>
  <c r="C97" i="47" s="1"/>
  <c r="C98" i="47" s="1"/>
  <c r="D70" i="54"/>
  <c r="D67" i="54"/>
  <c r="D71" i="54"/>
  <c r="D63" i="54"/>
  <c r="D64" i="54" s="1"/>
  <c r="D97" i="54" s="1"/>
  <c r="D118" i="54" s="1"/>
  <c r="C115" i="43"/>
  <c r="C116" i="43"/>
  <c r="C117" i="43" s="1"/>
  <c r="C136" i="43"/>
  <c r="C140" i="43" s="1"/>
  <c r="C137" i="43"/>
  <c r="C108" i="44"/>
  <c r="C127" i="44"/>
  <c r="D128" i="44"/>
  <c r="C128" i="44"/>
  <c r="D127" i="44"/>
  <c r="C70" i="46"/>
  <c r="C67" i="46"/>
  <c r="C63" i="46"/>
  <c r="C64" i="46" s="1"/>
  <c r="C97" i="46" s="1"/>
  <c r="C71" i="46"/>
  <c r="C70" i="51"/>
  <c r="C67" i="51"/>
  <c r="C57" i="51" s="1"/>
  <c r="C69" i="51" s="1"/>
  <c r="C63" i="51"/>
  <c r="C64" i="51" s="1"/>
  <c r="C97" i="51" s="1"/>
  <c r="C118" i="51" s="1"/>
  <c r="C71" i="51"/>
  <c r="D71" i="47"/>
  <c r="D67" i="47"/>
  <c r="D57" i="47" s="1"/>
  <c r="D69" i="47" s="1"/>
  <c r="D70" i="47"/>
  <c r="D63" i="47"/>
  <c r="D64" i="47" s="1"/>
  <c r="D97" i="47" s="1"/>
  <c r="C70" i="44"/>
  <c r="C63" i="44"/>
  <c r="C64" i="44" s="1"/>
  <c r="C97" i="44" s="1"/>
  <c r="C71" i="44"/>
  <c r="C67" i="44"/>
  <c r="C71" i="54"/>
  <c r="C67" i="54"/>
  <c r="C57" i="54" s="1"/>
  <c r="C69" i="54" s="1"/>
  <c r="C70" i="54"/>
  <c r="C63" i="54"/>
  <c r="C64" i="54" s="1"/>
  <c r="C97" i="54" s="1"/>
  <c r="C118" i="54" s="1"/>
  <c r="D116" i="43"/>
  <c r="D117" i="43" s="1"/>
  <c r="D115" i="43"/>
  <c r="D141" i="43"/>
  <c r="D152" i="43" s="1"/>
  <c r="D128" i="43"/>
  <c r="C128" i="43"/>
  <c r="C108" i="43"/>
  <c r="C127" i="43"/>
  <c r="D127" i="43"/>
  <c r="D128" i="50"/>
  <c r="C128" i="50"/>
  <c r="C127" i="50"/>
  <c r="C108" i="50"/>
  <c r="D127" i="50"/>
  <c r="D141" i="44"/>
  <c r="D152" i="44" s="1"/>
  <c r="C127" i="49"/>
  <c r="D128" i="49"/>
  <c r="C128" i="49"/>
  <c r="C108" i="49"/>
  <c r="D127" i="49"/>
  <c r="D128" i="47"/>
  <c r="D127" i="47"/>
  <c r="C108" i="47"/>
  <c r="C128" i="47"/>
  <c r="C127" i="47"/>
  <c r="D127" i="54"/>
  <c r="C127" i="54"/>
  <c r="C108" i="54"/>
  <c r="D128" i="54"/>
  <c r="C128" i="54"/>
  <c r="D118" i="46"/>
  <c r="C71" i="49"/>
  <c r="C70" i="49"/>
  <c r="C63" i="49"/>
  <c r="C64" i="49" s="1"/>
  <c r="C97" i="49" s="1"/>
  <c r="C118" i="49" s="1"/>
  <c r="C67" i="49"/>
  <c r="C57" i="49" s="1"/>
  <c r="C69" i="49" s="1"/>
  <c r="D118" i="50"/>
  <c r="C67" i="50"/>
  <c r="C71" i="50"/>
  <c r="C70" i="50"/>
  <c r="C63" i="50"/>
  <c r="C64" i="50" s="1"/>
  <c r="C97" i="50" s="1"/>
  <c r="C118" i="50" s="1"/>
  <c r="D138" i="43"/>
  <c r="D139" i="43" s="1"/>
  <c r="D151" i="43" s="1"/>
  <c r="D153" i="43"/>
  <c r="D115" i="44"/>
  <c r="D116" i="44"/>
  <c r="D117" i="44" s="1"/>
  <c r="D57" i="49"/>
  <c r="D69" i="49" s="1"/>
  <c r="C136" i="47"/>
  <c r="C140" i="47" s="1"/>
  <c r="C137" i="47"/>
  <c r="D142" i="54"/>
  <c r="C138" i="50"/>
  <c r="C139" i="50" s="1"/>
  <c r="C151" i="50" s="1"/>
  <c r="C153" i="50"/>
  <c r="C138" i="51"/>
  <c r="C139" i="51" s="1"/>
  <c r="C151" i="51" s="1"/>
  <c r="C153" i="51"/>
  <c r="C141" i="51"/>
  <c r="C152" i="51" s="1"/>
  <c r="C141" i="50"/>
  <c r="C152" i="50" s="1"/>
  <c r="C138" i="46"/>
  <c r="C139" i="46" s="1"/>
  <c r="C151" i="46" s="1"/>
  <c r="C153" i="46"/>
  <c r="C141" i="46"/>
  <c r="C152" i="46" s="1"/>
  <c r="D142" i="50"/>
  <c r="D143" i="50" s="1"/>
  <c r="D142" i="46"/>
  <c r="D143" i="46" s="1"/>
  <c r="C138" i="49"/>
  <c r="C139" i="49" s="1"/>
  <c r="C151" i="49" s="1"/>
  <c r="C153" i="49"/>
  <c r="D142" i="51"/>
  <c r="D142" i="47"/>
  <c r="C141" i="54"/>
  <c r="C152" i="54" s="1"/>
  <c r="C141" i="49"/>
  <c r="C152" i="49" s="1"/>
  <c r="C138" i="54"/>
  <c r="C139" i="54" s="1"/>
  <c r="C151" i="54" s="1"/>
  <c r="C153" i="54"/>
  <c r="C28" i="1"/>
  <c r="C27" i="1"/>
  <c r="D28" i="1"/>
  <c r="D27" i="1"/>
  <c r="D36" i="1"/>
  <c r="D45" i="1" s="1"/>
  <c r="D53" i="1" s="1"/>
  <c r="D54" i="1" s="1"/>
  <c r="D93" i="1"/>
  <c r="D92" i="1"/>
  <c r="D135" i="1"/>
  <c r="C92" i="1"/>
  <c r="C93" i="1"/>
  <c r="D136" i="1"/>
  <c r="C36" i="1"/>
  <c r="C45" i="1" s="1"/>
  <c r="C55" i="1"/>
  <c r="C135" i="1"/>
  <c r="D55" i="1"/>
  <c r="D69" i="43" l="1"/>
  <c r="D143" i="49"/>
  <c r="D99" i="43"/>
  <c r="D79" i="43" s="1"/>
  <c r="C129" i="54"/>
  <c r="D143" i="54"/>
  <c r="C99" i="47"/>
  <c r="C79" i="47" s="1"/>
  <c r="C142" i="48"/>
  <c r="C143" i="48" s="1"/>
  <c r="D118" i="44"/>
  <c r="D118" i="43"/>
  <c r="D129" i="54"/>
  <c r="D129" i="50"/>
  <c r="D129" i="47"/>
  <c r="D98" i="46"/>
  <c r="D143" i="47"/>
  <c r="D118" i="49"/>
  <c r="C129" i="50"/>
  <c r="D129" i="44"/>
  <c r="D142" i="44"/>
  <c r="C99" i="43"/>
  <c r="C79" i="43" s="1"/>
  <c r="C98" i="43"/>
  <c r="C98" i="44"/>
  <c r="C99" i="44"/>
  <c r="C79" i="44" s="1"/>
  <c r="C99" i="46"/>
  <c r="C79" i="46" s="1"/>
  <c r="C98" i="46"/>
  <c r="C129" i="43"/>
  <c r="C66" i="44"/>
  <c r="C72" i="44"/>
  <c r="C66" i="46"/>
  <c r="C72" i="46"/>
  <c r="D98" i="54"/>
  <c r="D99" i="54"/>
  <c r="D79" i="54" s="1"/>
  <c r="C66" i="47"/>
  <c r="C72" i="47"/>
  <c r="D129" i="51"/>
  <c r="C66" i="43"/>
  <c r="C72" i="43"/>
  <c r="D66" i="51"/>
  <c r="D72" i="51"/>
  <c r="C129" i="46"/>
  <c r="C72" i="50"/>
  <c r="C66" i="50"/>
  <c r="C129" i="47"/>
  <c r="C129" i="51"/>
  <c r="C118" i="44"/>
  <c r="C153" i="44"/>
  <c r="C138" i="44"/>
  <c r="C139" i="44" s="1"/>
  <c r="C151" i="44" s="1"/>
  <c r="D99" i="51"/>
  <c r="D79" i="51" s="1"/>
  <c r="D98" i="51"/>
  <c r="D98" i="44"/>
  <c r="C129" i="49"/>
  <c r="C99" i="54"/>
  <c r="C79" i="54" s="1"/>
  <c r="C98" i="54"/>
  <c r="D99" i="47"/>
  <c r="D79" i="47" s="1"/>
  <c r="D98" i="47"/>
  <c r="C66" i="51"/>
  <c r="C72" i="51"/>
  <c r="C138" i="43"/>
  <c r="C139" i="43" s="1"/>
  <c r="C151" i="43" s="1"/>
  <c r="C153" i="43"/>
  <c r="D66" i="44"/>
  <c r="D72" i="44"/>
  <c r="C118" i="46"/>
  <c r="D99" i="50"/>
  <c r="D79" i="50" s="1"/>
  <c r="D98" i="50"/>
  <c r="D72" i="43"/>
  <c r="D66" i="43"/>
  <c r="D143" i="51"/>
  <c r="C72" i="49"/>
  <c r="C66" i="49"/>
  <c r="D143" i="44"/>
  <c r="D142" i="43"/>
  <c r="D143" i="43" s="1"/>
  <c r="C141" i="43"/>
  <c r="C152" i="43" s="1"/>
  <c r="D99" i="49"/>
  <c r="D79" i="49" s="1"/>
  <c r="D98" i="49"/>
  <c r="C57" i="46"/>
  <c r="C69" i="46" s="1"/>
  <c r="C118" i="47"/>
  <c r="D72" i="54"/>
  <c r="D66" i="54"/>
  <c r="C138" i="47"/>
  <c r="C139" i="47" s="1"/>
  <c r="C151" i="47" s="1"/>
  <c r="C153" i="47"/>
  <c r="C98" i="50"/>
  <c r="C99" i="50"/>
  <c r="C79" i="50" s="1"/>
  <c r="C99" i="49"/>
  <c r="C79" i="49" s="1"/>
  <c r="C98" i="49"/>
  <c r="C72" i="54"/>
  <c r="C66" i="54"/>
  <c r="D72" i="47"/>
  <c r="D66" i="47"/>
  <c r="C129" i="44"/>
  <c r="C118" i="43"/>
  <c r="C57" i="50"/>
  <c r="C69" i="50" s="1"/>
  <c r="D72" i="49"/>
  <c r="D66" i="49"/>
  <c r="D57" i="44"/>
  <c r="D69" i="44" s="1"/>
  <c r="D72" i="50"/>
  <c r="D66" i="50"/>
  <c r="C99" i="51"/>
  <c r="C79" i="51" s="1"/>
  <c r="C98" i="51"/>
  <c r="C141" i="44"/>
  <c r="C152" i="44" s="1"/>
  <c r="C141" i="47"/>
  <c r="C152" i="47" s="1"/>
  <c r="D57" i="54"/>
  <c r="D69" i="54" s="1"/>
  <c r="D129" i="49"/>
  <c r="D129" i="43"/>
  <c r="D118" i="47"/>
  <c r="D72" i="46"/>
  <c r="D66" i="46"/>
  <c r="C57" i="44"/>
  <c r="C69" i="44" s="1"/>
  <c r="D129" i="46"/>
  <c r="D43" i="1"/>
  <c r="D90" i="1" s="1"/>
  <c r="D37" i="1"/>
  <c r="D132" i="1"/>
  <c r="D133" i="1" s="1"/>
  <c r="D38" i="1"/>
  <c r="D114" i="1"/>
  <c r="D116" i="1" s="1"/>
  <c r="D117" i="1" s="1"/>
  <c r="C142" i="49"/>
  <c r="C143" i="49" s="1"/>
  <c r="C142" i="51"/>
  <c r="C143" i="51" s="1"/>
  <c r="C142" i="46"/>
  <c r="C143" i="46" s="1"/>
  <c r="C142" i="50"/>
  <c r="C143" i="50" s="1"/>
  <c r="C142" i="54"/>
  <c r="C143" i="54" s="1"/>
  <c r="D100" i="1"/>
  <c r="D94" i="1"/>
  <c r="C94" i="1"/>
  <c r="C43" i="1"/>
  <c r="C90" i="1" s="1"/>
  <c r="C114" i="1"/>
  <c r="C100" i="1"/>
  <c r="C37" i="1"/>
  <c r="C38" i="1"/>
  <c r="C136" i="1"/>
  <c r="D50" i="1"/>
  <c r="C106" i="1"/>
  <c r="C105" i="1"/>
  <c r="D51" i="1"/>
  <c r="D101" i="1" s="1"/>
  <c r="C51" i="1"/>
  <c r="D39" i="1"/>
  <c r="D44" i="1"/>
  <c r="C50" i="1"/>
  <c r="C132" i="1"/>
  <c r="C133" i="1" s="1"/>
  <c r="B22" i="25"/>
  <c r="B23" i="25"/>
  <c r="B24" i="25"/>
  <c r="B25" i="25"/>
  <c r="B26" i="25"/>
  <c r="B27" i="25"/>
  <c r="B28" i="25"/>
  <c r="B31" i="25"/>
  <c r="B29" i="25"/>
  <c r="B30" i="25"/>
  <c r="B36" i="25"/>
  <c r="B37" i="25"/>
  <c r="B32" i="25"/>
  <c r="B33" i="25"/>
  <c r="B34" i="25"/>
  <c r="B35" i="25"/>
  <c r="B38" i="25"/>
  <c r="B39" i="25"/>
  <c r="B40" i="25"/>
  <c r="B41" i="25"/>
  <c r="B42" i="25"/>
  <c r="B43" i="25"/>
  <c r="B44" i="25"/>
  <c r="B45"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B77" i="25"/>
  <c r="B78" i="25"/>
  <c r="B79" i="25"/>
  <c r="B80" i="25"/>
  <c r="B81" i="25"/>
  <c r="B82" i="25"/>
  <c r="B83" i="25"/>
  <c r="B84" i="25"/>
  <c r="B85" i="25"/>
  <c r="B86" i="25"/>
  <c r="B87" i="25"/>
  <c r="B88" i="25"/>
  <c r="B89" i="25"/>
  <c r="B90" i="25"/>
  <c r="B91" i="25"/>
  <c r="B92" i="25"/>
  <c r="B93" i="25"/>
  <c r="B94" i="25"/>
  <c r="B95" i="25"/>
  <c r="B96" i="25"/>
  <c r="B97" i="25"/>
  <c r="B98" i="25"/>
  <c r="B99" i="25"/>
  <c r="B100" i="25"/>
  <c r="B101" i="25"/>
  <c r="B102" i="25"/>
  <c r="B20" i="25"/>
  <c r="B19" i="36"/>
  <c r="B19" i="25" s="1"/>
  <c r="B14" i="25"/>
  <c r="B15" i="25"/>
  <c r="B16" i="25"/>
  <c r="B17" i="25"/>
  <c r="B13" i="25"/>
  <c r="B9" i="25"/>
  <c r="B10" i="25"/>
  <c r="B11" i="25"/>
  <c r="B8" i="25"/>
  <c r="B4" i="25"/>
  <c r="B5" i="25"/>
  <c r="B6" i="25"/>
  <c r="B3" i="25"/>
  <c r="C156" i="36"/>
  <c r="C157" i="36"/>
  <c r="C162" i="36"/>
  <c r="C163" i="36"/>
  <c r="C164" i="36"/>
  <c r="C165" i="36"/>
  <c r="C166" i="36"/>
  <c r="C167" i="36"/>
  <c r="C168" i="36"/>
  <c r="C169" i="36"/>
  <c r="C170" i="36"/>
  <c r="C171" i="36"/>
  <c r="C173" i="36"/>
  <c r="C174" i="36"/>
  <c r="C175" i="36"/>
  <c r="C176" i="36"/>
  <c r="C177" i="36"/>
  <c r="C178" i="36"/>
  <c r="C179" i="36"/>
  <c r="C180" i="36"/>
  <c r="C182" i="36"/>
  <c r="C183" i="36"/>
  <c r="C184" i="36"/>
  <c r="C185" i="36"/>
  <c r="C186" i="36"/>
  <c r="C187" i="36"/>
  <c r="C188" i="36"/>
  <c r="C189" i="36"/>
  <c r="C190" i="36"/>
  <c r="C191" i="36"/>
  <c r="C192" i="36"/>
  <c r="C193" i="36"/>
  <c r="C194" i="36"/>
  <c r="C196" i="36"/>
  <c r="C197" i="36"/>
  <c r="C198" i="36"/>
  <c r="C199" i="36"/>
  <c r="C201" i="36"/>
  <c r="C202" i="36"/>
  <c r="C203" i="36"/>
  <c r="B156" i="36"/>
  <c r="B157" i="36"/>
  <c r="B158" i="36"/>
  <c r="B159" i="36"/>
  <c r="B160" i="36"/>
  <c r="B162" i="36"/>
  <c r="B163" i="36"/>
  <c r="B164" i="36"/>
  <c r="B165" i="36"/>
  <c r="B166" i="36"/>
  <c r="B167" i="36"/>
  <c r="B168" i="36"/>
  <c r="B169" i="36"/>
  <c r="B170" i="36"/>
  <c r="B171" i="36"/>
  <c r="B172" i="36"/>
  <c r="B173" i="36"/>
  <c r="B174" i="36"/>
  <c r="B175" i="36"/>
  <c r="B176" i="36"/>
  <c r="B177" i="36"/>
  <c r="B178" i="36"/>
  <c r="B179" i="36"/>
  <c r="B180" i="36"/>
  <c r="B181" i="36"/>
  <c r="B182" i="36"/>
  <c r="B183" i="36"/>
  <c r="B184" i="36"/>
  <c r="B185" i="36"/>
  <c r="B186" i="36"/>
  <c r="B187" i="36"/>
  <c r="B188" i="36"/>
  <c r="B189" i="36"/>
  <c r="B190" i="36"/>
  <c r="B191" i="36"/>
  <c r="B192" i="36"/>
  <c r="B193" i="36"/>
  <c r="B194" i="36"/>
  <c r="B195" i="36"/>
  <c r="B196" i="36"/>
  <c r="B197" i="36"/>
  <c r="B198" i="36"/>
  <c r="B199" i="36"/>
  <c r="B200" i="36"/>
  <c r="B201" i="36"/>
  <c r="B202" i="36"/>
  <c r="B203" i="36"/>
  <c r="C155" i="36"/>
  <c r="B155" i="36"/>
  <c r="C142" i="44" l="1"/>
  <c r="C143" i="44" s="1"/>
  <c r="C142" i="47"/>
  <c r="C143" i="47" s="1"/>
  <c r="C142" i="43"/>
  <c r="C143" i="43" s="1"/>
  <c r="D115" i="1"/>
  <c r="C116" i="1"/>
  <c r="C117" i="1" s="1"/>
  <c r="C115" i="1"/>
  <c r="C200" i="1"/>
  <c r="C200" i="36"/>
  <c r="C195" i="1"/>
  <c r="C95" i="1" s="1"/>
  <c r="C195" i="36"/>
  <c r="C107" i="1"/>
  <c r="C52" i="1"/>
  <c r="C68" i="1" s="1"/>
  <c r="D52" i="1"/>
  <c r="D68" i="1" s="1"/>
  <c r="C30" i="1"/>
  <c r="E22" i="1" s="1"/>
  <c r="C44" i="1"/>
  <c r="C53" i="1"/>
  <c r="C54" i="1" s="1"/>
  <c r="C110" i="1"/>
  <c r="C109" i="1"/>
  <c r="C39" i="1"/>
  <c r="D91" i="1"/>
  <c r="D30" i="1"/>
  <c r="D102" i="1" s="1"/>
  <c r="C60" i="1" l="1"/>
  <c r="C61" i="1" s="1"/>
  <c r="C101" i="1"/>
  <c r="C102" i="1" s="1"/>
  <c r="D95" i="1"/>
  <c r="D147" i="1" s="1"/>
  <c r="D137" i="1"/>
  <c r="C140" i="1"/>
  <c r="C137" i="1"/>
  <c r="C138" i="1" s="1"/>
  <c r="C139" i="1" s="1"/>
  <c r="C96" i="1"/>
  <c r="C147" i="1"/>
  <c r="C146" i="1"/>
  <c r="C148" i="1"/>
  <c r="C91" i="1"/>
  <c r="C65" i="1"/>
  <c r="C108" i="1"/>
  <c r="D128" i="1"/>
  <c r="D127" i="1"/>
  <c r="C127" i="1"/>
  <c r="C128" i="1"/>
  <c r="D60" i="1"/>
  <c r="D61" i="1" s="1"/>
  <c r="D65" i="1"/>
  <c r="D67" i="1" s="1"/>
  <c r="D57" i="1" s="1"/>
  <c r="D138" i="1" l="1"/>
  <c r="D139" i="1" s="1"/>
  <c r="D129" i="1"/>
  <c r="D140" i="1"/>
  <c r="D141" i="1" s="1"/>
  <c r="D96" i="1"/>
  <c r="D148" i="1"/>
  <c r="D146" i="1"/>
  <c r="C142" i="1"/>
  <c r="C67" i="1"/>
  <c r="C141" i="1"/>
  <c r="C129" i="1"/>
  <c r="D71" i="1"/>
  <c r="D63" i="1"/>
  <c r="D64" i="1" s="1"/>
  <c r="D97" i="1" s="1"/>
  <c r="D70" i="1"/>
  <c r="D66" i="1"/>
  <c r="C71" i="1"/>
  <c r="C63" i="1"/>
  <c r="C64" i="1" s="1"/>
  <c r="C97" i="1" s="1"/>
  <c r="C99" i="1" s="1"/>
  <c r="C79" i="1" s="1"/>
  <c r="C70" i="1"/>
  <c r="C75" i="1"/>
  <c r="D75" i="1"/>
  <c r="D122" i="1"/>
  <c r="C122" i="1"/>
  <c r="D142" i="1" l="1"/>
  <c r="C57" i="1"/>
  <c r="C69" i="1" s="1"/>
  <c r="D98" i="1"/>
  <c r="C72" i="1"/>
  <c r="C66" i="1"/>
  <c r="D69" i="1"/>
  <c r="D72" i="1"/>
  <c r="C98" i="1"/>
  <c r="C76" i="1"/>
  <c r="C77" i="1" s="1"/>
  <c r="D76" i="1"/>
  <c r="D77" i="1" s="1"/>
  <c r="C152" i="1"/>
  <c r="D152" i="1"/>
  <c r="D151" i="1"/>
  <c r="D153" i="1"/>
  <c r="C118" i="1"/>
  <c r="D118" i="1"/>
  <c r="D99" i="1"/>
  <c r="D79" i="1" s="1"/>
  <c r="C151" i="1"/>
  <c r="C153" i="1"/>
  <c r="C124" i="1"/>
  <c r="D124" i="1"/>
  <c r="D143" i="1" l="1"/>
  <c r="C143" i="1"/>
  <c r="C158" i="1" l="1"/>
  <c r="C158" i="36"/>
  <c r="C159" i="1"/>
  <c r="C159" i="36"/>
  <c r="C181" i="1" l="1"/>
  <c r="C181" i="36"/>
  <c r="C160" i="1" l="1"/>
  <c r="C160" i="36"/>
  <c r="C172" i="36"/>
  <c r="D17" i="29" l="1"/>
  <c r="D16" i="29"/>
  <c r="F4" i="21" l="1"/>
  <c r="E4" i="21" l="1"/>
  <c r="C4" i="21"/>
  <c r="D4" i="21" l="1"/>
  <c r="F36" i="21" l="1"/>
  <c r="D36" i="21"/>
  <c r="G4" i="21" l="1"/>
  <c r="D13" i="29"/>
  <c r="D12" i="29"/>
  <c r="D11" i="29"/>
  <c r="D10" i="29"/>
  <c r="D20" i="29"/>
  <c r="D18" i="29"/>
  <c r="D14" i="29"/>
  <c r="D21" i="29"/>
  <c r="D19" i="29"/>
  <c r="D15" i="29"/>
  <c r="D9" i="29"/>
  <c r="D8" i="29"/>
  <c r="D7" i="29"/>
  <c r="D6" i="29"/>
  <c r="H4" i="21" l="1"/>
</calcChain>
</file>

<file path=xl/sharedStrings.xml><?xml version="1.0" encoding="utf-8"?>
<sst xmlns="http://schemas.openxmlformats.org/spreadsheetml/2006/main" count="1493" uniqueCount="529">
  <si>
    <t>Stagger number (1 or 2)</t>
  </si>
  <si>
    <t>PW (µs)</t>
  </si>
  <si>
    <t>NRG</t>
  </si>
  <si>
    <t>NSERIES</t>
  </si>
  <si>
    <t>POSTDEC</t>
  </si>
  <si>
    <t>NCRG(all rcvrs)</t>
  </si>
  <si>
    <t>Duty cycle per beam</t>
  </si>
  <si>
    <t>TCHIP (m)</t>
  </si>
  <si>
    <t>fft2doppler (m/s per FFT bin)</t>
  </si>
  <si>
    <t># FFT bins to min velocity</t>
  </si>
  <si>
    <t>PCIe Rate MB/s</t>
  </si>
  <si>
    <r>
      <t>Total PRI (</t>
    </r>
    <r>
      <rPr>
        <sz val="10"/>
        <color theme="1"/>
        <rFont val="Calibri"/>
        <family val="2"/>
      </rPr>
      <t>μs)</t>
    </r>
  </si>
  <si>
    <t>c/2 (m/μs)</t>
  </si>
  <si>
    <t>(4p)^3 (dB)</t>
  </si>
  <si>
    <t>NF (dB)</t>
  </si>
  <si>
    <t>KT (dBm/Hz)</t>
  </si>
  <si>
    <r>
      <t>λ</t>
    </r>
    <r>
      <rPr>
        <b/>
        <vertAlign val="superscript"/>
        <sz val="10"/>
        <color rgb="FFFF0000"/>
        <rFont val="Arial"/>
        <family val="2"/>
        <scheme val="minor"/>
      </rPr>
      <t>2</t>
    </r>
    <r>
      <rPr>
        <b/>
        <sz val="10"/>
        <color rgb="FFFF0000"/>
        <rFont val="Arial"/>
        <family val="2"/>
        <scheme val="minor"/>
      </rPr>
      <t xml:space="preserve"> (dB/m</t>
    </r>
    <r>
      <rPr>
        <b/>
        <vertAlign val="superscript"/>
        <sz val="10"/>
        <color rgb="FFFF0000"/>
        <rFont val="Arial"/>
        <family val="2"/>
        <scheme val="minor"/>
      </rPr>
      <t>2</t>
    </r>
    <r>
      <rPr>
        <b/>
        <sz val="10"/>
        <color rgb="FFFF0000"/>
        <rFont val="Arial"/>
        <family val="2"/>
        <scheme val="minor"/>
      </rPr>
      <t>)</t>
    </r>
  </si>
  <si>
    <t>RCS (m^2)</t>
  </si>
  <si>
    <t>c (m/s)</t>
  </si>
  <si>
    <t>Freq (GHz)</t>
  </si>
  <si>
    <t>Processing Channel Number (1 or 2)</t>
  </si>
  <si>
    <t>Number of Staggers (1 or 2)</t>
  </si>
  <si>
    <t>Number of Beams at Antenna1</t>
  </si>
  <si>
    <t>Number of Beams at Antenna2</t>
  </si>
  <si>
    <t>Number of Beams</t>
  </si>
  <si>
    <t>Antenna 1 PA Duty cycle</t>
  </si>
  <si>
    <t>Antenna 2 PA Duty cycle</t>
  </si>
  <si>
    <t>NCRG(per rcvr,limited to 512)</t>
  </si>
  <si>
    <t>P-State Name</t>
  </si>
  <si>
    <t>Seq no</t>
  </si>
  <si>
    <t>Receiving Patch Group (1 or 2)</t>
  </si>
  <si>
    <t>Processing Channel Parameters</t>
  </si>
  <si>
    <t>Beam Sequence and Parameters</t>
  </si>
  <si>
    <r>
      <t>Total PRI (</t>
    </r>
    <r>
      <rPr>
        <sz val="11"/>
        <color theme="1"/>
        <rFont val="Calibri"/>
        <family val="2"/>
      </rPr>
      <t>μsec)</t>
    </r>
  </si>
  <si>
    <t>Harmonization</t>
  </si>
  <si>
    <t>TCHIP (even number)</t>
  </si>
  <si>
    <t>XML On/Off</t>
  </si>
  <si>
    <t>XML Key</t>
  </si>
  <si>
    <t>Sequence Id</t>
  </si>
  <si>
    <t>Sequence Name</t>
  </si>
  <si>
    <t>BeamType</t>
  </si>
  <si>
    <t>ProcChanId</t>
  </si>
  <si>
    <t>SteerAz</t>
  </si>
  <si>
    <t>SteerEl</t>
  </si>
  <si>
    <t>Stagger</t>
  </si>
  <si>
    <t>RcvPatchGrp</t>
  </si>
  <si>
    <t>DesiredBatchTime</t>
  </si>
  <si>
    <t>BatchTime</t>
  </si>
  <si>
    <t>PulseWidth</t>
  </si>
  <si>
    <t>PRI1</t>
  </si>
  <si>
    <t>PRI2</t>
  </si>
  <si>
    <t>MinRange</t>
  </si>
  <si>
    <t>MaxRange</t>
  </si>
  <si>
    <t>NRangeGates</t>
  </si>
  <si>
    <t>ChipSize</t>
  </si>
  <si>
    <t>PostDec</t>
  </si>
  <si>
    <t>DFTSize</t>
  </si>
  <si>
    <t>MinVelocity</t>
  </si>
  <si>
    <t>MaxVelocity</t>
  </si>
  <si>
    <t>NoiseMask</t>
  </si>
  <si>
    <t>ThresholdSNR</t>
  </si>
  <si>
    <t>ClutterMargin</t>
  </si>
  <si>
    <t>Parameter Description</t>
  </si>
  <si>
    <t>OperOptions</t>
  </si>
  <si>
    <t>Value</t>
  </si>
  <si>
    <t>General System Parameter Name</t>
  </si>
  <si>
    <t>ProcChanName</t>
  </si>
  <si>
    <t>GSP Key</t>
  </si>
  <si>
    <t>Radar</t>
  </si>
  <si>
    <t>Version</t>
  </si>
  <si>
    <t>Radar Name</t>
  </si>
  <si>
    <t>Key</t>
  </si>
  <si>
    <t>Description</t>
  </si>
  <si>
    <t>Type</t>
  </si>
  <si>
    <t>xmlParams</t>
  </si>
  <si>
    <t>xmlComment</t>
  </si>
  <si>
    <t>BeamsCount</t>
  </si>
  <si>
    <t>B</t>
  </si>
  <si>
    <t>P</t>
  </si>
  <si>
    <t>NSeries</t>
  </si>
  <si>
    <t>NPoints</t>
  </si>
  <si>
    <t>p</t>
  </si>
  <si>
    <t>Note:</t>
  </si>
  <si>
    <t>XML Switch
p=ProcChan
b=Beam
a=all</t>
  </si>
  <si>
    <t>Option Key</t>
  </si>
  <si>
    <t>Option Name</t>
  </si>
  <si>
    <t>STC</t>
  </si>
  <si>
    <t>DetectionLimit</t>
  </si>
  <si>
    <t>RGOverlap</t>
  </si>
  <si>
    <t>Range Gate Overlap
(0 - 0%, 1 - 50%)</t>
  </si>
  <si>
    <t>Sensitivity Time Control</t>
  </si>
  <si>
    <t>Value Or Formula</t>
  </si>
  <si>
    <t>DynamicVal</t>
  </si>
  <si>
    <t>xmlParamsRadar</t>
  </si>
  <si>
    <t>xmlParamsVersion</t>
  </si>
  <si>
    <t>Degrees</t>
  </si>
  <si>
    <t>xmlCommentSteerAz</t>
  </si>
  <si>
    <t>xmlVal</t>
  </si>
  <si>
    <t>Convert to Radian</t>
  </si>
  <si>
    <t>xmlValSteerAz</t>
  </si>
  <si>
    <t>xmlCommentSteerEl</t>
  </si>
  <si>
    <t>xmlValSteerEl</t>
  </si>
  <si>
    <t>Convert to seconds</t>
  </si>
  <si>
    <t>xmlValPulseWidth</t>
  </si>
  <si>
    <t>Combined Key
(Do not Add/Change/Delete)</t>
  </si>
  <si>
    <t>units [m]</t>
  </si>
  <si>
    <t>units [m/sec]</t>
  </si>
  <si>
    <t>units [dB]</t>
  </si>
  <si>
    <t>(ms)</t>
  </si>
  <si>
    <t>xmlCommentDesiredBatchTime</t>
  </si>
  <si>
    <t>xmlValDesiredBatchTime</t>
  </si>
  <si>
    <t>xmlCommentPulseWidth</t>
  </si>
  <si>
    <t>xmlCommentPRI1</t>
  </si>
  <si>
    <t>xmlValPRI1</t>
  </si>
  <si>
    <t>xmlCommentPRI2</t>
  </si>
  <si>
    <t>xmlValPRI2</t>
  </si>
  <si>
    <t>xmlCommentMinRange</t>
  </si>
  <si>
    <t>xmlCommentMaxRange</t>
  </si>
  <si>
    <t>xmlCommentMinVelocity</t>
  </si>
  <si>
    <t>xmlCommentMaxVelocity</t>
  </si>
  <si>
    <t>xmlCommentThresholdSNR</t>
  </si>
  <si>
    <t>xmlCommentClutterMargin</t>
  </si>
  <si>
    <t>xmlCommentBatchTime</t>
  </si>
  <si>
    <t>xmlValBatchTime</t>
  </si>
  <si>
    <t>1. General</t>
  </si>
  <si>
    <t>a) Radar mode-dependent operation is governed by a set of parameters that are defined in an Excel file. This Excel file is automatically converted to XML and processed by the radar on startup.</t>
  </si>
  <si>
    <t>b)  The above Excel file defines the radar's Modes, Sequences, Pchannel (processing channel) parameters and Beams. Basically, a Mode defines a set of Sequences where each Sequence defines one or more (up to 16) Beams where each Beam is acquired using a particular Pchannel (up to two Pchannel parameter sets are defined in each Sequence).</t>
  </si>
  <si>
    <t>2. Pchannel parameters</t>
  </si>
  <si>
    <t>a) Pchannel parameters define the data acquisition and processing parameters of a TAP processing channel. At any given time (when not in standby) either one or two Pchannels are in operation. Thus a Sequence defines either one or two Pchannel parameter sets. A Beam is acquired using a particular Pchannel. This association is defined by the Sequence.</t>
  </si>
  <si>
    <t>Notes:</t>
  </si>
  <si>
    <t>i) Pchannel parameters defined in separate Sequence sheets are unrelated (as far as radar software is concerned).</t>
  </si>
  <si>
    <t>ii) Single-Pchannel Sequences (see below) generate a single type of batches at a fixed rate. Dual-Pchannel sequences generate two types of batches, each with its associated rate.</t>
  </si>
  <si>
    <t>3. Beams</t>
  </si>
  <si>
    <t>A Beam is a single PRI comprising a transmit pulse and the associated receive period. A Beam is defined by the following parameters:</t>
  </si>
  <si>
    <t>a) The acquisition Pchannel used for this Beam</t>
  </si>
  <si>
    <t>b) Steering (azimuth and elevation)</t>
  </si>
  <si>
    <t>a) A Sequence defines a set of Beams and their ordering within the Sequence. Each sequence is defined in a separate sheet in the Excel file. The name of the sheet (which is the name of the associated Sequence) must be unique in the Excel file. Again, these names are hard-coded in radar software.</t>
  </si>
  <si>
    <t>b) Each Beam in a Sequence is acquired using a particular Pchannel and the associated Pchannel parameters. Thus a Sequence defines one or two Pchannel parameter sets. Sequences only using a single Pchannel are called single-Pchannel sequences, whereas Sequences using both Pchannels are called dual-Pchannel Sequences (or combined Sequences).</t>
  </si>
  <si>
    <t>a) At any given time the radar is either in standby or is operating in a particular Mode. Radar Modes reflect the host-visible radar state.</t>
  </si>
  <si>
    <t>Modes are selected at run-time via host commands. Radar Mode only changes as a result of receiving a host command (TBR).</t>
  </si>
  <si>
    <t>b) A Mode defines a set of Sequences. It specifies the names of the Sequences participating in the Mode as well as their time ordering. This information is hard-coded in radar software.</t>
  </si>
  <si>
    <t>c) A Mode can be either single-Sequence or multi-Sequence. Single-Sequence Modes comprise a single Sequence, which can be either single-Pchannel or dual-Pchannel. Multi-Sequence Modes can only comprise single-Pchannel Sequences.</t>
  </si>
  <si>
    <t>Single-Sequence Modes repeatedly run the same (single) Sequence over and over.</t>
  </si>
  <si>
    <t>Multi-Sequence Modes run the Sequences starting from the first Sequence. Each Sequence is run once (generating a single batch as per the parameters of the associated (single) Pchannel). When reached the last Sequence in the set - rolling over to the first Sequence.</t>
  </si>
  <si>
    <t>d) A Sequence defines a timing cycle. The timing cycle is generated over and over until the Sequence is exited. A Sequence can be exited in the following ways:</t>
  </si>
  <si>
    <t>i) Upon an end of batch in the case of multi-Sequence Modes</t>
  </si>
  <si>
    <t>ii) Upon a Mode change</t>
  </si>
  <si>
    <t>The above Excel file does not comprise timing parameters (these are defined in separate XML files).</t>
  </si>
  <si>
    <t>The Modes names, Sequence names and Sequence ordering in each Mode are hard-coded in radar software. However the details of each Sequence are not hard-coded (they are defined in the Excel file).</t>
  </si>
  <si>
    <t>It is assumed that all Beams in a Sequence that use the same Pchannel have the same number of staggers (either all such Beams have one stagger or they all have two staggers). However the sequencing of first and second stagger for the various beams (for staggered Sequences) is arbitrary (it is defined by the Sequence).</t>
  </si>
  <si>
    <t>A host command (e.g. SEARCH/TRACK/REVISIT) is converted to a radar Mode via a hard-coded algorithm.</t>
  </si>
  <si>
    <t>A particular Sequence can appear in any number of Modes.</t>
  </si>
  <si>
    <t>A batch comprises data acquired by a single Pchannel. It follows that dual-Pchannel sequences generate two types of batches. A batch is always generated by an integral number of seqences. This holds for single-Pchannel sequences as well as for dual-Pchannel sequences.</t>
  </si>
  <si>
    <t>Total Scan (msec)</t>
  </si>
  <si>
    <t>CPI 1 (msec)</t>
  </si>
  <si>
    <t>CPI 2 (msec)</t>
  </si>
  <si>
    <r>
      <rPr>
        <b/>
        <sz val="10"/>
        <color rgb="FFFF0000"/>
        <rFont val="Calibri"/>
        <family val="2"/>
      </rPr>
      <t>λ</t>
    </r>
    <r>
      <rPr>
        <b/>
        <sz val="10"/>
        <color rgb="FFFF0000"/>
        <rFont val="Arial"/>
        <family val="2"/>
        <scheme val="minor"/>
      </rPr>
      <t xml:space="preserve"> (m)</t>
    </r>
  </si>
  <si>
    <t>Beam steering (azimuth and elevation) is relative to local virtual platform, which has some heading, and zero pitch and zero roll relative to locally-level local North coordinate system.</t>
  </si>
  <si>
    <t>(us)</t>
  </si>
  <si>
    <t>XPDR</t>
  </si>
  <si>
    <t>IBP</t>
  </si>
  <si>
    <t>Inter Batch Processing</t>
  </si>
  <si>
    <t>FFT length (limited to 8192)</t>
  </si>
  <si>
    <t># FFT bins to max velocity</t>
  </si>
  <si>
    <t>Volts</t>
  </si>
  <si>
    <t>dBm</t>
  </si>
  <si>
    <t>Doppler factor (Hz/(m/sec))</t>
  </si>
  <si>
    <t>Mode Summary</t>
  </si>
  <si>
    <t>Max Dets to process</t>
  </si>
  <si>
    <t>Npoints (up to FFT length)</t>
  </si>
  <si>
    <t>Pchan 1 Name</t>
  </si>
  <si>
    <t>Pchan 2 Name</t>
  </si>
  <si>
    <t>Number of T/R modules</t>
  </si>
  <si>
    <t>Power per T/R module</t>
  </si>
  <si>
    <t>Gain per T/R module [dB]</t>
  </si>
  <si>
    <t>ALC</t>
  </si>
  <si>
    <t>SNR min range (dB)</t>
  </si>
  <si>
    <t>SNR max range (dB)</t>
  </si>
  <si>
    <t>Actual Bandwidth (MHz)</t>
  </si>
  <si>
    <t>ADC Bandwidth (MHz)</t>
  </si>
  <si>
    <t>Antenna input (dBm)</t>
  </si>
  <si>
    <t>Range</t>
  </si>
  <si>
    <t>Volts to dBm</t>
  </si>
  <si>
    <t>RX_PHC</t>
  </si>
  <si>
    <t>RX Phase Calibration</t>
  </si>
  <si>
    <t>perform phase calibration on rx modules</t>
  </si>
  <si>
    <t>Normalized Effective Noise Bandwidth  = N*sum(win^2)/sum(win)^2</t>
  </si>
  <si>
    <t>Window 6dB BW (bins)</t>
  </si>
  <si>
    <t>Mils to Degrees</t>
  </si>
  <si>
    <t>Mils</t>
  </si>
  <si>
    <t>correction of parallax effect in anechoic chamber</t>
  </si>
  <si>
    <t>AE_CHM</t>
  </si>
  <si>
    <t>Anechoic (An-Echoic) Chamber</t>
  </si>
  <si>
    <t>Rectangular 6dB BW (bins)</t>
  </si>
  <si>
    <t>Window Peak Spreading (bins)</t>
  </si>
  <si>
    <t>#samples for noise estimation</t>
  </si>
  <si>
    <t>NF</t>
  </si>
  <si>
    <t>Tracking (0 or 1)</t>
  </si>
  <si>
    <t>Beam type (relative to processing channel)</t>
  </si>
  <si>
    <t>Proc. Chan. 1 - Steers Definition</t>
  </si>
  <si>
    <t>Proc. Chan. 2 - Steers Definition</t>
  </si>
  <si>
    <t>Note: Tracking '1' means dynamic beam, i.e., beam direction is SW controlled. The value in the table is a default value.</t>
  </si>
  <si>
    <t>Number of Steers</t>
  </si>
  <si>
    <t>Tracking</t>
  </si>
  <si>
    <t>Antenna Number (1 or 2)</t>
  </si>
  <si>
    <t>Number of Beam Types</t>
  </si>
  <si>
    <t>PC01_Antenna</t>
  </si>
  <si>
    <t>PC01_SteerEl</t>
  </si>
  <si>
    <t>PC02_Antenna</t>
  </si>
  <si>
    <t>PC02_SteerEl</t>
  </si>
  <si>
    <t>PC01_SteerDef</t>
  </si>
  <si>
    <t>PC02_SteerDef</t>
  </si>
  <si>
    <t>PC01_SteerAz</t>
  </si>
  <si>
    <t>PC02_SteerAz</t>
  </si>
  <si>
    <t>b) Patch group</t>
  </si>
  <si>
    <t>c) Stagger number (1 or 2)</t>
  </si>
  <si>
    <t>d) Tracking flag (0 or 1)</t>
  </si>
  <si>
    <t>Tracking '1' means dynamic beam, i.e., beam direction is SW controlled. The value in the table is a default value.</t>
  </si>
  <si>
    <t>4. Beam Steers</t>
  </si>
  <si>
    <t>5. Sequences</t>
  </si>
  <si>
    <t>6. Radar Modes</t>
  </si>
  <si>
    <t>a) Antenna number (1 or 2)</t>
  </si>
  <si>
    <t>A Beam steering is defined by the following parameters:</t>
  </si>
  <si>
    <t>Stagger Loss (dB)</t>
  </si>
  <si>
    <t>Comments</t>
  </si>
  <si>
    <t>BandWidth</t>
  </si>
  <si>
    <t>(MHz)</t>
  </si>
  <si>
    <t>xmlCommentBandWidth</t>
  </si>
  <si>
    <t>Convert to Herz</t>
  </si>
  <si>
    <t>xmlValBandWidth</t>
  </si>
  <si>
    <t>ADC Noise Level (dBm)</t>
  </si>
  <si>
    <t>SNR @ Range (m):</t>
  </si>
  <si>
    <t>SNR (dB)</t>
  </si>
  <si>
    <r>
      <t>σ(dB/m</t>
    </r>
    <r>
      <rPr>
        <b/>
        <vertAlign val="superscript"/>
        <sz val="10"/>
        <rFont val="Arial"/>
        <family val="2"/>
        <scheme val="minor"/>
      </rPr>
      <t>2</t>
    </r>
    <r>
      <rPr>
        <sz val="10"/>
        <rFont val="Arial"/>
        <family val="2"/>
        <scheme val="minor"/>
      </rPr>
      <t>)</t>
    </r>
  </si>
  <si>
    <t>Desired CPI (ms)</t>
  </si>
  <si>
    <t>Actual CPI (ms)</t>
  </si>
  <si>
    <t>Range Resolution (m)</t>
  </si>
  <si>
    <t>Min Range Offset (m)</t>
  </si>
  <si>
    <t>Max Range Offset (m)</t>
  </si>
  <si>
    <t>Min Range (m)</t>
  </si>
  <si>
    <t>Max Range (m)</t>
  </si>
  <si>
    <t>Clutter Velocity Limit (m/s)</t>
  </si>
  <si>
    <t>Clutter Margin (m/s)</t>
  </si>
  <si>
    <t>Min Velocity (m/s)</t>
  </si>
  <si>
    <t>Max Velocity (m/s)</t>
  </si>
  <si>
    <t>Loss Velocity (m/s)</t>
  </si>
  <si>
    <r>
      <t>Loss Acceleration (m/s</t>
    </r>
    <r>
      <rPr>
        <vertAlign val="superscript"/>
        <sz val="10"/>
        <color theme="1"/>
        <rFont val="Arial"/>
        <family val="2"/>
        <scheme val="minor"/>
      </rPr>
      <t>2</t>
    </r>
    <r>
      <rPr>
        <sz val="10"/>
        <color theme="1"/>
        <rFont val="Arial"/>
        <family val="2"/>
        <scheme val="minor"/>
      </rPr>
      <t>)</t>
    </r>
  </si>
  <si>
    <t>RFAGC</t>
  </si>
  <si>
    <t>xmlCommentRFAGC</t>
  </si>
  <si>
    <t>IFAGC</t>
  </si>
  <si>
    <t>xmlCommentIFAGC</t>
  </si>
  <si>
    <t>xmlCommentNF</t>
  </si>
  <si>
    <t>Available Power (dBm)</t>
  </si>
  <si>
    <t>Normalized ENBW (dB)</t>
  </si>
  <si>
    <t>Window 3dB BW (bins)</t>
  </si>
  <si>
    <t>Scallop Loss (dB)</t>
  </si>
  <si>
    <t>Velocity Loss (dB)</t>
  </si>
  <si>
    <t>Acceleration Loss (dB)</t>
  </si>
  <si>
    <t>Total Loss (dB)</t>
  </si>
  <si>
    <t>Probability of False Alarm</t>
  </si>
  <si>
    <t>SNR Threshold (dB)</t>
  </si>
  <si>
    <t>Probability of Detection @ SNR (dB):</t>
  </si>
  <si>
    <t>Probability of Detection</t>
  </si>
  <si>
    <t>Fc</t>
  </si>
  <si>
    <t>PatchPower</t>
  </si>
  <si>
    <t>Npatches</t>
  </si>
  <si>
    <t>PatchGain</t>
  </si>
  <si>
    <t>Sequential Repetition</t>
  </si>
  <si>
    <t>SeqRepetition</t>
  </si>
  <si>
    <t>PhaseNoise</t>
  </si>
  <si>
    <t>Phase Noise Level (dBc/Hz)</t>
  </si>
  <si>
    <t>PolarLoss</t>
  </si>
  <si>
    <t>Polarization Loss (dB)</t>
  </si>
  <si>
    <t>Steer Az (clockwise - positive)</t>
  </si>
  <si>
    <t>Steer El (up - positive)</t>
  </si>
  <si>
    <t>Interferer @ Range (m)</t>
  </si>
  <si>
    <t>Total Processing Gain (dB)</t>
  </si>
  <si>
    <t>FFT2Doppler</t>
  </si>
  <si>
    <t>Search1</t>
  </si>
  <si>
    <t>Search2</t>
  </si>
  <si>
    <t>Search3</t>
  </si>
  <si>
    <t>Search4</t>
  </si>
  <si>
    <t>Search5</t>
  </si>
  <si>
    <t>Track1</t>
  </si>
  <si>
    <t>Track2</t>
  </si>
  <si>
    <t>Track3</t>
  </si>
  <si>
    <t>Ch1</t>
  </si>
  <si>
    <t>Ch2</t>
  </si>
  <si>
    <t>OPD</t>
  </si>
  <si>
    <t>Only Positive Doppler</t>
  </si>
  <si>
    <t>allow only positive doppler frequency</t>
  </si>
  <si>
    <t>OND</t>
  </si>
  <si>
    <t>Only Negative Doppler</t>
  </si>
  <si>
    <t>allow only negative doppler frequency</t>
  </si>
  <si>
    <t>RPM</t>
  </si>
  <si>
    <t>Test</t>
  </si>
  <si>
    <t>MinRangeOffset</t>
  </si>
  <si>
    <t>MaxRangeOffset</t>
  </si>
  <si>
    <t>Revision</t>
  </si>
  <si>
    <t>xmlParamsRevision</t>
  </si>
  <si>
    <t>GUI SPECTRUM PRESENTATION (w/o interferer)</t>
  </si>
  <si>
    <t>GUI SPECTRUM PRESENTATION (with interferer)</t>
  </si>
  <si>
    <t>Straddling Loss (dB) - w/o OL</t>
  </si>
  <si>
    <t>Straddling Loss (dB) - with 50% OL</t>
  </si>
  <si>
    <t>RCS vs Pwr (dBm) @Ant In</t>
  </si>
  <si>
    <t>On</t>
  </si>
  <si>
    <t>Acceleration Folding (m/s2)</t>
  </si>
  <si>
    <t>Maximum Allowed Acceleration (m/s2)</t>
  </si>
  <si>
    <t>Acceleration Ambiguity (m/s2)</t>
  </si>
  <si>
    <t>Allow Transponder Targets</t>
  </si>
  <si>
    <t>allow transponder targets that have mirror doppler (do not perform check for mirror doppler)</t>
  </si>
  <si>
    <t>LCFAR</t>
  </si>
  <si>
    <t>Local CFAR</t>
  </si>
  <si>
    <t>GCFAR</t>
  </si>
  <si>
    <t>Global CFAR</t>
  </si>
  <si>
    <t>use local noise estimation for SNR</t>
  </si>
  <si>
    <t>use global (avg. per RG) noise based on local noise for SNR</t>
  </si>
  <si>
    <t>Search mode state machine</t>
  </si>
  <si>
    <r>
      <t>Synchronization window per seq (</t>
    </r>
    <r>
      <rPr>
        <sz val="10"/>
        <color rgb="FFFF0000"/>
        <rFont val="Arial"/>
        <family val="2"/>
        <scheme val="minor"/>
      </rPr>
      <t>μs)</t>
    </r>
  </si>
  <si>
    <t>Max Tgt SNR (dB)</t>
  </si>
  <si>
    <t>Options (see Options List sheet)</t>
  </si>
  <si>
    <t>STC Init Range (m)</t>
  </si>
  <si>
    <t>STCInitRange</t>
  </si>
  <si>
    <t>NStaggers</t>
  </si>
  <si>
    <t>Off</t>
  </si>
  <si>
    <t>SyncWindow</t>
  </si>
  <si>
    <t>Prop1</t>
  </si>
  <si>
    <t>Prop2</t>
  </si>
  <si>
    <t>Prop3</t>
  </si>
  <si>
    <t>Tgt RCS (m^2):</t>
  </si>
  <si>
    <t>Probability of False Alarm per CPI</t>
  </si>
  <si>
    <t>Probability of False Alarm per SEC</t>
  </si>
  <si>
    <t>Multi-Radar System</t>
  </si>
  <si>
    <t>Unambiguous Range (km)</t>
  </si>
  <si>
    <r>
      <t xml:space="preserve">Stagger1 PRI </t>
    </r>
    <r>
      <rPr>
        <sz val="10"/>
        <rFont val="Calibri"/>
        <family val="2"/>
      </rPr>
      <t>(µs)</t>
    </r>
  </si>
  <si>
    <r>
      <t xml:space="preserve">Stagger2 PRI </t>
    </r>
    <r>
      <rPr>
        <sz val="10"/>
        <rFont val="Calibri"/>
        <family val="2"/>
      </rPr>
      <t>(µs)</t>
    </r>
  </si>
  <si>
    <t>Total PRF (kHz)</t>
  </si>
  <si>
    <t>Max Abs Velocity Meas (m/s)</t>
  </si>
  <si>
    <t>Optimal Peak2Peak Seperation (m/s)</t>
  </si>
  <si>
    <t>Folding (Blind) Velocity (m/s)</t>
  </si>
  <si>
    <t>Target Revisit Time (sec)</t>
  </si>
  <si>
    <t>Max Trk Vr STD for Res Vel Amb (m/s)</t>
  </si>
  <si>
    <t>Max Acceleration (m/s2)</t>
  </si>
  <si>
    <t>Noise Mask (example: '-13,-4,4,13)</t>
  </si>
  <si>
    <t>Range Gate Width (m)</t>
  </si>
  <si>
    <t>RangeRes</t>
  </si>
  <si>
    <t>RGWidth</t>
  </si>
  <si>
    <t>Group Id</t>
  </si>
  <si>
    <t>Distance/Azimuth - Point 1 to Point 2</t>
  </si>
  <si>
    <t>Point 1 Lat</t>
  </si>
  <si>
    <t>Point 1 Lon</t>
  </si>
  <si>
    <t>Point 2 Lat</t>
  </si>
  <si>
    <t>Point 2 Lon</t>
  </si>
  <si>
    <t>Distance (meters)</t>
  </si>
  <si>
    <t>Azimuth (degree)</t>
  </si>
  <si>
    <t>TIF_nTrackSlots</t>
  </si>
  <si>
    <t>TIF - no. of Track Slots</t>
  </si>
  <si>
    <t>TIF_nPropellerSlots</t>
  </si>
  <si>
    <t>TIF - no. of Propeller Slots</t>
  </si>
  <si>
    <t>TIF_PropRevisitTime</t>
  </si>
  <si>
    <t>TIF - Propeller Revisit Time [sec]</t>
  </si>
  <si>
    <t>MaxTrksToProcess</t>
  </si>
  <si>
    <t>Maximum Tracks to Process</t>
  </si>
  <si>
    <t>FFTWindowFunction</t>
  </si>
  <si>
    <t>BH</t>
  </si>
  <si>
    <t>TrackRevisitTime</t>
  </si>
  <si>
    <t>Track Revisit Time [sec]</t>
  </si>
  <si>
    <t>AppCode</t>
  </si>
  <si>
    <t>Application Code</t>
  </si>
  <si>
    <t>xmlParamsAppCode</t>
  </si>
  <si>
    <t>RCS vs Pwr (dBm) @ADC In - Sum Rx</t>
  </si>
  <si>
    <t>ADC input (dBm) - Sum Rx</t>
  </si>
  <si>
    <t>ADC In (dBm) - Sum Rx</t>
  </si>
  <si>
    <t>Gt,Gr</t>
  </si>
  <si>
    <t>Rx Processing Gain (dB)</t>
  </si>
  <si>
    <t>RxProcGain</t>
  </si>
  <si>
    <t># Rcvrs</t>
  </si>
  <si>
    <t>Buffer size (KB)</t>
  </si>
  <si>
    <t>Max Target Range (m)</t>
  </si>
  <si>
    <t>MaxTgtRange</t>
  </si>
  <si>
    <t>SWERLING (0, I, II, III, IV)</t>
  </si>
  <si>
    <t>Target SNR (dB)</t>
  </si>
  <si>
    <t>N - CPIs</t>
  </si>
  <si>
    <t>Pd/Pfa for Non-Coh. Int. with CA-CFAR</t>
  </si>
  <si>
    <t>M - reference cells</t>
  </si>
  <si>
    <t>Pd for at least N of M detections (N,M)</t>
  </si>
  <si>
    <t>2,5</t>
  </si>
  <si>
    <t>NENBW  (dB)</t>
  </si>
  <si>
    <t>3dB BW (bins)</t>
  </si>
  <si>
    <t>6dB BW (bins)</t>
  </si>
  <si>
    <t>Null BW (bins)</t>
  </si>
  <si>
    <t xml:space="preserve">Scallop Loss (dB) </t>
  </si>
  <si>
    <t>Blackman-Harris Window Characteristics</t>
  </si>
  <si>
    <t>Parabolic Inerpolation Improvement Factor</t>
  </si>
  <si>
    <t>1,2</t>
  </si>
  <si>
    <t>R/V/DOA Precision @SNR</t>
  </si>
  <si>
    <t>Chip Width {m}</t>
  </si>
  <si>
    <t>CPI [msec]</t>
  </si>
  <si>
    <t>Angle of Arrival (deg)</t>
  </si>
  <si>
    <t>Range {m}</t>
  </si>
  <si>
    <t>Vel (m/sec)</t>
  </si>
  <si>
    <t>DOA (mrad)</t>
  </si>
  <si>
    <t>Pulse Length (A2D samples)</t>
  </si>
  <si>
    <t>R/V/DOA Accuracy</t>
  </si>
  <si>
    <t>d effective for DOA based on Interferometry (m)</t>
  </si>
  <si>
    <t>RunSynchronizedToGps</t>
  </si>
  <si>
    <t>Run Synchronized to GPS</t>
  </si>
  <si>
    <t>NENBW</t>
  </si>
  <si>
    <t>Tapered Array (0/1)</t>
  </si>
  <si>
    <t>AGC Set</t>
  </si>
  <si>
    <t>RF AGC</t>
  </si>
  <si>
    <t>IF AGC</t>
  </si>
  <si>
    <t>Guard Channel</t>
  </si>
  <si>
    <t>wNF (dB)</t>
  </si>
  <si>
    <t>Tapering Rx Loss (dB)</t>
  </si>
  <si>
    <t>AGC Set (1-6)</t>
  </si>
  <si>
    <t>at ADC out</t>
  </si>
  <si>
    <t>TypSysGainRefRx</t>
  </si>
  <si>
    <t>Rx Typical Sys Gain [dB]</t>
  </si>
  <si>
    <t>Guard Typical Sys Gain [dB]</t>
  </si>
  <si>
    <t>Unweighted</t>
  </si>
  <si>
    <t>Weighted</t>
  </si>
  <si>
    <t>Noise at ADC input close to ADC noise</t>
  </si>
  <si>
    <r>
      <t>RX 1- 4 (</t>
    </r>
    <r>
      <rPr>
        <b/>
        <sz val="11"/>
        <color rgb="FFFF0000"/>
        <rFont val="Arial"/>
        <family val="2"/>
        <scheme val="minor"/>
      </rPr>
      <t>pAGC = 2</t>
    </r>
    <r>
      <rPr>
        <b/>
        <sz val="11"/>
        <color theme="1"/>
        <rFont val="Arial"/>
        <family val="2"/>
        <scheme val="minor"/>
      </rPr>
      <t>)</t>
    </r>
  </si>
  <si>
    <t># Patches in 1st Rx</t>
  </si>
  <si>
    <t>Typical System Gain (dB) - 1st Rx</t>
  </si>
  <si>
    <t>Sample Period (us)</t>
  </si>
  <si>
    <t>Tapering Signal Gain Loss (dB) - 1st Rx</t>
  </si>
  <si>
    <t>Tapering Noise Gain Loss (dB) - 1st Rx</t>
  </si>
  <si>
    <t>TypSysGain1stRx</t>
  </si>
  <si>
    <t>TaperingSignalGainLoss1stRx</t>
  </si>
  <si>
    <t>TaperingNoiseGainLoss1stRx</t>
  </si>
  <si>
    <t># Patches in Ref (Guard) Rx</t>
  </si>
  <si>
    <t>Typ1stRxCalibGain</t>
  </si>
  <si>
    <t>Typical 1st Rx Calibration (dB)</t>
  </si>
  <si>
    <t>Actual System Gain (dB) - 1st Rx</t>
  </si>
  <si>
    <t>Actual System Gain (dB) - Ref Rx</t>
  </si>
  <si>
    <t>TaperingSignalGainLossRefRx</t>
  </si>
  <si>
    <t>Tapering Signal Gain Loss (dB) - Ref (Guard) Rx</t>
  </si>
  <si>
    <t>TaperingNoiseGainLossRefRx</t>
  </si>
  <si>
    <t>Tapering Noise Gain Loss (dB) - Ref (Guard) Rx</t>
  </si>
  <si>
    <t>Actual 1st Rx Calibration (dB)</t>
  </si>
  <si>
    <t>Gr - 1st Rx</t>
  </si>
  <si>
    <t>Gr - Ref (Guard) Rx</t>
  </si>
  <si>
    <t>FFT Window: BH</t>
  </si>
  <si>
    <t>Miscellaneous Losses (dB)</t>
  </si>
  <si>
    <t>Signal Gain Loss (dB)</t>
  </si>
  <si>
    <t>Noise Gain Loss (dB)</t>
  </si>
  <si>
    <t>[N^2 / sum(win)^2] dB</t>
  </si>
  <si>
    <t>[N / sum(win^2)] dB</t>
  </si>
  <si>
    <t>RF AGC (dB) - 1st Rx</t>
  </si>
  <si>
    <t>IF AGC (dB) - 1st Rx</t>
  </si>
  <si>
    <t>RF AGC (dB) - Ref Rx</t>
  </si>
  <si>
    <t>IF AGC (dB) - Ref Rx</t>
  </si>
  <si>
    <t>NF @ADCout (dB) - 1st Rx</t>
  </si>
  <si>
    <t>NF @ADCout (dB) - Ref Rx</t>
  </si>
  <si>
    <t>Tgt min range @ADCin (dBm) - Ref. Rx</t>
  </si>
  <si>
    <t>Tgt max range @ADCin (dBm) - Ref. Rx</t>
  </si>
  <si>
    <t>1st Rx Noise @ADCout (dBm/bin)</t>
  </si>
  <si>
    <t>Ref Rx Noise @ADCout (dBm/bin)</t>
  </si>
  <si>
    <t>Total Noise @ADCout (dBm/bin)</t>
  </si>
  <si>
    <t>Tgt @ADCin (dBm) - Ref. Rx</t>
  </si>
  <si>
    <t>Tgt @ADCin (dBm) - 1st Rx - no calib.</t>
  </si>
  <si>
    <t>Tgt @ADCout (dBm) - 1st Rx</t>
  </si>
  <si>
    <t>Tgt @ADCout (dBm)</t>
  </si>
  <si>
    <t>Interferer @ ADCin (dBm) - Ref. Rx</t>
  </si>
  <si>
    <t>Interferer @ ADCin (dBm) - 1st Rx</t>
  </si>
  <si>
    <t>Ref. Rx Phase Noise @ADCin (dBm/bin)</t>
  </si>
  <si>
    <t>Ref. Rx Phase Noise @ADCout (dBm/bin)</t>
  </si>
  <si>
    <t>Ref. Rx Total Noise @ADCout (dBm/bin)</t>
  </si>
  <si>
    <t>1st Rx Phase Noise @ADCout (dBm/bin)</t>
  </si>
  <si>
    <t>1st Rx Total Noise @ADCout (dBm/bin)</t>
  </si>
  <si>
    <t>Total Noise Power @ADCout (dBm/bin)</t>
  </si>
  <si>
    <t>Beam Total Noise @ADCout (dBm/bin)</t>
  </si>
  <si>
    <t>N_RX</t>
  </si>
  <si>
    <t>SystemGain</t>
  </si>
  <si>
    <t>BlackmanHarris</t>
  </si>
  <si>
    <t>Averaged Phase Noise</t>
  </si>
  <si>
    <t># FFT bins of peak spreading (one side)</t>
  </si>
  <si>
    <t># FFT bins for noise estimation (one side)</t>
  </si>
  <si>
    <t># FFT bins of clutter margin (one side)</t>
  </si>
  <si>
    <t>Typical System Gain (dB) - Ref (Guard) Rx</t>
  </si>
  <si>
    <t>Asymptotically 3.0197</t>
  </si>
  <si>
    <t>Regular 0.1448, Weighted 0.1332</t>
  </si>
  <si>
    <t>new Matrix + new RXTX</t>
  </si>
  <si>
    <t>-</t>
  </si>
  <si>
    <t>new Matrix</t>
  </si>
  <si>
    <t>old Matrix</t>
  </si>
  <si>
    <t>#RG in Optimized Mode (one side)</t>
  </si>
  <si>
    <t>NRGOptimMode</t>
  </si>
  <si>
    <t>Apply RG Optimization</t>
  </si>
  <si>
    <t>ApplyRGOptimization</t>
  </si>
  <si>
    <t>MHR</t>
  </si>
  <si>
    <t>ADCNoise</t>
  </si>
  <si>
    <t>Freq Desynchronization factor (ppb)</t>
  </si>
  <si>
    <t>Freq Desynchronization factor (Hz)</t>
  </si>
  <si>
    <t>Freq Desynchronization factor (m/s)</t>
  </si>
  <si>
    <t>Time Desynchronization factor (ppm)</t>
  </si>
  <si>
    <t>Total #RG in Optimized Mode</t>
  </si>
  <si>
    <t>Multi Stagger - PRI Ext (in Chip Units)</t>
  </si>
  <si>
    <t>PRIExtInChipUnits</t>
  </si>
  <si>
    <t>CEF</t>
  </si>
  <si>
    <t>Check Energy Fit</t>
  </si>
  <si>
    <t>Check if there is enough energy for detection</t>
  </si>
  <si>
    <t>RCSRef</t>
  </si>
  <si>
    <t>BBR</t>
  </si>
  <si>
    <t>Barker Based Range</t>
  </si>
  <si>
    <t>CAB</t>
  </si>
  <si>
    <t>Check Across Beams</t>
  </si>
  <si>
    <t>check for local maximum across beams during peak/det validation procedures</t>
  </si>
  <si>
    <t>Noise Floor CFAR</t>
  </si>
  <si>
    <t>NFCFAR</t>
  </si>
  <si>
    <t>find noise floor per RG and use it for SNR</t>
  </si>
  <si>
    <t>CONSTANT</t>
  </si>
  <si>
    <t>System Propagation Delay (us)</t>
  </si>
  <si>
    <t>Stagger PRI Sequence (Chip Units)</t>
  </si>
  <si>
    <t>StgPRISeqInChipUnits</t>
  </si>
  <si>
    <t>Co-Interferer Pwr (dBm) @Range</t>
  </si>
  <si>
    <t>Antenna input (dBm) - per element</t>
  </si>
  <si>
    <t>ID</t>
  </si>
  <si>
    <t>Additional Notes</t>
  </si>
  <si>
    <t>not applicable to uDopp. Waveforms</t>
  </si>
  <si>
    <t>perform inter batch processing</t>
  </si>
  <si>
    <t>disabled</t>
  </si>
  <si>
    <t>estimate range using barker sidelobes when target is beyond minimum range</t>
  </si>
  <si>
    <t>UDOPP</t>
  </si>
  <si>
    <t>micro-Doppler waveform</t>
  </si>
  <si>
    <t>current waveform will be used for uDoppler detection only</t>
  </si>
  <si>
    <t>Manually = 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</si>
</sst>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409]d\-mmm\-yy;@"/>
  </numFmts>
  <fonts count="29" x14ac:knownFonts="1">
    <font>
      <sz val="11"/>
      <color theme="1"/>
      <name val="Arial"/>
      <family val="2"/>
      <scheme val="minor"/>
    </font>
    <font>
      <b/>
      <sz val="11"/>
      <color theme="1"/>
      <name val="Arial"/>
      <family val="2"/>
      <scheme val="minor"/>
    </font>
    <font>
      <b/>
      <sz val="10"/>
      <color rgb="FFFF0000"/>
      <name val="Arial"/>
      <family val="2"/>
      <scheme val="minor"/>
    </font>
    <font>
      <sz val="10"/>
      <name val="Arial"/>
      <family val="2"/>
      <scheme val="minor"/>
    </font>
    <font>
      <sz val="10"/>
      <color theme="1"/>
      <name val="Arial"/>
      <family val="2"/>
      <scheme val="minor"/>
    </font>
    <font>
      <sz val="10"/>
      <name val="Calibri"/>
      <family val="2"/>
    </font>
    <font>
      <vertAlign val="superscript"/>
      <sz val="10"/>
      <color theme="1"/>
      <name val="Arial"/>
      <family val="2"/>
      <scheme val="minor"/>
    </font>
    <font>
      <sz val="9"/>
      <color indexed="8"/>
      <name val="Calibri"/>
      <family val="2"/>
    </font>
    <font>
      <sz val="10"/>
      <color theme="1"/>
      <name val="Calibri"/>
      <family val="2"/>
    </font>
    <font>
      <sz val="10"/>
      <color rgb="FFFF0000"/>
      <name val="Arial"/>
      <family val="2"/>
      <scheme val="minor"/>
    </font>
    <font>
      <b/>
      <vertAlign val="superscript"/>
      <sz val="10"/>
      <color rgb="FFFF0000"/>
      <name val="Arial"/>
      <family val="2"/>
      <scheme val="minor"/>
    </font>
    <font>
      <sz val="11"/>
      <color theme="1"/>
      <name val="Calibri"/>
      <family val="2"/>
    </font>
    <font>
      <b/>
      <vertAlign val="superscript"/>
      <sz val="10"/>
      <name val="Arial"/>
      <family val="2"/>
      <scheme val="minor"/>
    </font>
    <font>
      <b/>
      <sz val="10"/>
      <name val="Arial"/>
      <family val="2"/>
      <scheme val="minor"/>
    </font>
    <font>
      <b/>
      <sz val="15"/>
      <color theme="3"/>
      <name val="Arial"/>
      <family val="2"/>
      <scheme val="minor"/>
    </font>
    <font>
      <b/>
      <sz val="13"/>
      <color theme="3"/>
      <name val="Arial"/>
      <family val="2"/>
      <scheme val="minor"/>
    </font>
    <font>
      <sz val="11"/>
      <color rgb="FFFF0000"/>
      <name val="Arial"/>
      <family val="2"/>
      <scheme val="minor"/>
    </font>
    <font>
      <i/>
      <sz val="11"/>
      <color rgb="FF7F7F7F"/>
      <name val="Arial"/>
      <family val="2"/>
      <scheme val="minor"/>
    </font>
    <font>
      <sz val="13"/>
      <color theme="3"/>
      <name val="Arial"/>
      <family val="2"/>
      <scheme val="minor"/>
    </font>
    <font>
      <b/>
      <sz val="10"/>
      <color rgb="FFFF0000"/>
      <name val="Calibri"/>
      <family val="2"/>
    </font>
    <font>
      <b/>
      <sz val="12"/>
      <color theme="3"/>
      <name val="Arial"/>
      <family val="2"/>
      <scheme val="minor"/>
    </font>
    <font>
      <sz val="11"/>
      <color theme="1"/>
      <name val="Arial"/>
      <family val="2"/>
      <scheme val="minor"/>
    </font>
    <font>
      <b/>
      <sz val="10"/>
      <color rgb="FFC00000"/>
      <name val="Arial"/>
      <family val="2"/>
      <scheme val="minor"/>
    </font>
    <font>
      <b/>
      <sz val="10"/>
      <color theme="1"/>
      <name val="Arial"/>
      <family val="2"/>
      <scheme val="minor"/>
    </font>
    <font>
      <b/>
      <sz val="11"/>
      <name val="Arial"/>
      <family val="2"/>
      <scheme val="minor"/>
    </font>
    <font>
      <b/>
      <sz val="11"/>
      <color theme="0"/>
      <name val="Arial"/>
      <family val="2"/>
      <scheme val="minor"/>
    </font>
    <font>
      <b/>
      <sz val="11"/>
      <color rgb="FFFF0000"/>
      <name val="Arial"/>
      <family val="2"/>
      <scheme val="minor"/>
    </font>
    <font>
      <sz val="10"/>
      <color rgb="FF000000"/>
      <name val="Arial"/>
      <family val="2"/>
    </font>
    <font>
      <sz val="10"/>
      <name val="Arial"/>
      <family val="2"/>
    </font>
  </fonts>
  <fills count="21">
    <fill>
      <patternFill patternType="none"/>
    </fill>
    <fill>
      <patternFill patternType="gray125"/>
    </fill>
    <fill>
      <patternFill patternType="solid">
        <fgColor theme="0"/>
        <bgColor indexed="64"/>
      </patternFill>
    </fill>
    <fill>
      <patternFill patternType="solid">
        <fgColor rgb="FF92D050"/>
        <bgColor indexed="64"/>
      </patternFill>
    </fill>
    <fill>
      <patternFill patternType="solid">
        <fgColor rgb="FFFFFF00"/>
        <bgColor indexed="64"/>
      </patternFill>
    </fill>
    <fill>
      <patternFill patternType="solid">
        <fgColor rgb="FFFFCCFF"/>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2F2F2"/>
      </patternFill>
    </fill>
    <fill>
      <patternFill patternType="solid">
        <fgColor theme="9" tint="0.39997558519241921"/>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FFFFCC"/>
      </patternFill>
    </fill>
    <fill>
      <patternFill patternType="solid">
        <fgColor theme="3"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rgb="FF000000"/>
      </patternFill>
    </fill>
    <fill>
      <patternFill patternType="solid">
        <fgColor theme="6" tint="0.59999389629810485"/>
        <bgColor indexed="64"/>
      </patternFill>
    </fill>
    <fill>
      <patternFill patternType="solid">
        <fgColor theme="0" tint="-4.9989318521683403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style="medium">
        <color indexed="64"/>
      </top>
      <bottom style="thick">
        <color theme="4"/>
      </bottom>
      <diagonal/>
    </border>
    <border>
      <left style="medium">
        <color indexed="64"/>
      </left>
      <right style="medium">
        <color indexed="64"/>
      </right>
      <top/>
      <bottom/>
      <diagonal/>
    </border>
    <border>
      <left style="medium">
        <color indexed="64"/>
      </left>
      <right style="medium">
        <color indexed="64"/>
      </right>
      <top/>
      <bottom style="thick">
        <color theme="4"/>
      </bottom>
      <diagonal/>
    </border>
    <border>
      <left style="medium">
        <color indexed="64"/>
      </left>
      <right style="medium">
        <color indexed="64"/>
      </right>
      <top/>
      <bottom style="medium">
        <color indexed="64"/>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
    <xf numFmtId="165" fontId="0" fillId="0" borderId="0"/>
    <xf numFmtId="165" fontId="14" fillId="0" borderId="3" applyNumberFormat="0" applyFill="0" applyAlignment="0" applyProtection="0"/>
    <xf numFmtId="165" fontId="15" fillId="0" borderId="4" applyNumberFormat="0" applyFill="0" applyAlignment="0" applyProtection="0"/>
    <xf numFmtId="165" fontId="16" fillId="0" borderId="0" applyNumberFormat="0" applyFill="0" applyBorder="0" applyAlignment="0" applyProtection="0"/>
    <xf numFmtId="165" fontId="17" fillId="0" borderId="0" applyNumberFormat="0" applyFill="0" applyBorder="0" applyAlignment="0" applyProtection="0"/>
    <xf numFmtId="165" fontId="21" fillId="0" borderId="0"/>
    <xf numFmtId="165" fontId="21" fillId="13" borderId="20" applyNumberFormat="0" applyFont="0" applyAlignment="0" applyProtection="0"/>
    <xf numFmtId="164" fontId="21" fillId="0" borderId="0" applyFont="0" applyFill="0" applyBorder="0" applyAlignment="0" applyProtection="0"/>
    <xf numFmtId="0" fontId="21" fillId="0" borderId="0"/>
  </cellStyleXfs>
  <cellXfs count="152">
    <xf numFmtId="165" fontId="0" fillId="0" borderId="0" xfId="0"/>
    <xf numFmtId="0" fontId="0" fillId="0" borderId="0" xfId="0" applyNumberFormat="1" applyBorder="1" applyAlignment="1">
      <alignment horizontal="left" vertical="center"/>
    </xf>
    <xf numFmtId="0" fontId="0" fillId="0" borderId="0" xfId="0" applyNumberFormat="1" applyBorder="1" applyAlignment="1">
      <alignment horizontal="right" vertical="center"/>
    </xf>
    <xf numFmtId="0" fontId="0" fillId="0" borderId="0" xfId="0" applyNumberFormat="1" applyAlignment="1">
      <alignment horizontal="right" vertical="center"/>
    </xf>
    <xf numFmtId="0" fontId="0" fillId="0" borderId="0" xfId="0" applyNumberFormat="1" applyAlignment="1">
      <alignment horizontal="left" vertical="center"/>
    </xf>
    <xf numFmtId="0" fontId="0" fillId="0" borderId="0" xfId="0" applyNumberFormat="1" applyAlignment="1">
      <alignment vertical="center" wrapText="1"/>
    </xf>
    <xf numFmtId="0" fontId="0" fillId="0" borderId="0" xfId="0" applyNumberFormat="1" applyAlignment="1">
      <alignment vertical="center"/>
    </xf>
    <xf numFmtId="0" fontId="14" fillId="0" borderId="5" xfId="1" applyNumberFormat="1" applyBorder="1" applyAlignment="1">
      <alignment vertical="center" wrapText="1"/>
    </xf>
    <xf numFmtId="0" fontId="18" fillId="0" borderId="6" xfId="2" applyNumberFormat="1" applyFont="1" applyBorder="1" applyAlignment="1">
      <alignment vertical="center" wrapText="1"/>
    </xf>
    <xf numFmtId="0" fontId="17" fillId="0" borderId="6" xfId="4" applyNumberFormat="1" applyBorder="1" applyAlignment="1">
      <alignment vertical="center" wrapText="1"/>
    </xf>
    <xf numFmtId="0" fontId="0" fillId="0" borderId="0" xfId="0" applyNumberFormat="1" applyBorder="1" applyAlignment="1">
      <alignment vertical="center"/>
    </xf>
    <xf numFmtId="0" fontId="16" fillId="0" borderId="6" xfId="3" applyNumberFormat="1" applyBorder="1" applyAlignment="1">
      <alignment vertical="center" wrapText="1"/>
    </xf>
    <xf numFmtId="0" fontId="14" fillId="0" borderId="7" xfId="1" applyNumberFormat="1" applyBorder="1" applyAlignment="1">
      <alignment vertical="center" wrapText="1"/>
    </xf>
    <xf numFmtId="0" fontId="17" fillId="0" borderId="7" xfId="4" applyNumberFormat="1" applyBorder="1" applyAlignment="1">
      <alignment vertical="center" wrapText="1"/>
    </xf>
    <xf numFmtId="0" fontId="17" fillId="0" borderId="8" xfId="4" applyNumberFormat="1" applyBorder="1" applyAlignment="1">
      <alignment vertical="center" wrapText="1"/>
    </xf>
    <xf numFmtId="0" fontId="0" fillId="0" borderId="12" xfId="0" applyNumberFormat="1" applyBorder="1" applyAlignment="1">
      <alignment horizontal="center" vertical="center" wrapText="1"/>
    </xf>
    <xf numFmtId="0" fontId="0" fillId="0" borderId="2" xfId="0" applyNumberFormat="1" applyBorder="1" applyAlignment="1">
      <alignment vertical="center" wrapText="1"/>
    </xf>
    <xf numFmtId="0" fontId="0" fillId="0" borderId="13" xfId="0" applyNumberFormat="1" applyBorder="1" applyAlignment="1">
      <alignment vertical="center"/>
    </xf>
    <xf numFmtId="0" fontId="0" fillId="0" borderId="14" xfId="0" applyNumberFormat="1" applyBorder="1" applyAlignment="1">
      <alignment horizontal="center" vertical="center"/>
    </xf>
    <xf numFmtId="0" fontId="0" fillId="0" borderId="1" xfId="0" applyNumberFormat="1" applyBorder="1" applyAlignment="1">
      <alignment horizontal="center" vertical="center"/>
    </xf>
    <xf numFmtId="0" fontId="0" fillId="0" borderId="1" xfId="0" applyNumberFormat="1" applyBorder="1" applyAlignment="1">
      <alignment vertical="center"/>
    </xf>
    <xf numFmtId="0" fontId="0" fillId="0" borderId="15" xfId="0" applyNumberFormat="1" applyBorder="1" applyAlignment="1">
      <alignment vertical="center"/>
    </xf>
    <xf numFmtId="0" fontId="0" fillId="0" borderId="0" xfId="0" applyNumberFormat="1" applyAlignment="1">
      <alignment horizontal="center" vertical="center"/>
    </xf>
    <xf numFmtId="0" fontId="0" fillId="0" borderId="16" xfId="0" applyNumberFormat="1" applyBorder="1" applyAlignment="1">
      <alignment horizontal="center" vertical="center"/>
    </xf>
    <xf numFmtId="0" fontId="0" fillId="0" borderId="17" xfId="0" applyNumberFormat="1" applyBorder="1" applyAlignment="1">
      <alignment vertical="center"/>
    </xf>
    <xf numFmtId="0" fontId="0" fillId="0" borderId="18" xfId="0" applyNumberFormat="1" applyBorder="1" applyAlignment="1">
      <alignment vertical="center"/>
    </xf>
    <xf numFmtId="0" fontId="0" fillId="0" borderId="19" xfId="0" applyNumberFormat="1" applyBorder="1" applyAlignment="1">
      <alignment vertical="center"/>
    </xf>
    <xf numFmtId="0" fontId="1" fillId="7" borderId="1" xfId="0" applyNumberFormat="1" applyFont="1" applyFill="1" applyBorder="1" applyAlignment="1">
      <alignment horizontal="center" vertical="center"/>
    </xf>
    <xf numFmtId="0" fontId="25" fillId="14" borderId="1" xfId="0" applyNumberFormat="1" applyFont="1" applyFill="1" applyBorder="1" applyAlignment="1">
      <alignment horizontal="left" vertical="center"/>
    </xf>
    <xf numFmtId="0" fontId="25" fillId="14" borderId="1" xfId="0" applyNumberFormat="1" applyFont="1" applyFill="1" applyBorder="1" applyAlignment="1">
      <alignment horizontal="center" vertical="center"/>
    </xf>
    <xf numFmtId="0" fontId="2" fillId="9" borderId="1" xfId="0" applyNumberFormat="1" applyFont="1" applyFill="1" applyBorder="1" applyAlignment="1">
      <alignment horizontal="left" vertical="center" wrapText="1"/>
    </xf>
    <xf numFmtId="0" fontId="2" fillId="9" borderId="1" xfId="0" applyNumberFormat="1" applyFont="1" applyFill="1" applyBorder="1" applyAlignment="1">
      <alignment horizontal="center" vertical="center" wrapText="1"/>
    </xf>
    <xf numFmtId="0" fontId="4" fillId="3" borderId="1" xfId="0" applyNumberFormat="1" applyFont="1" applyFill="1" applyBorder="1" applyAlignment="1">
      <alignment horizontal="left" vertical="center" wrapText="1"/>
    </xf>
    <xf numFmtId="0" fontId="3" fillId="3" borderId="1" xfId="0" applyNumberFormat="1" applyFont="1" applyFill="1" applyBorder="1" applyAlignment="1">
      <alignment horizontal="center" vertical="center" wrapText="1"/>
    </xf>
    <xf numFmtId="0" fontId="2" fillId="5" borderId="1" xfId="0" applyNumberFormat="1" applyFont="1" applyFill="1" applyBorder="1" applyAlignment="1">
      <alignment horizontal="left" vertical="center" wrapText="1"/>
    </xf>
    <xf numFmtId="0" fontId="2" fillId="5" borderId="1" xfId="0" applyNumberFormat="1" applyFont="1" applyFill="1" applyBorder="1" applyAlignment="1">
      <alignment horizontal="center" vertical="center" wrapText="1"/>
    </xf>
    <xf numFmtId="0" fontId="2" fillId="9" borderId="1" xfId="0" applyNumberFormat="1" applyFont="1" applyFill="1" applyBorder="1" applyAlignment="1">
      <alignment vertical="center" wrapText="1"/>
    </xf>
    <xf numFmtId="0" fontId="2" fillId="5" borderId="1" xfId="0" applyNumberFormat="1" applyFont="1" applyFill="1" applyBorder="1" applyAlignment="1">
      <alignment vertical="center" wrapText="1"/>
    </xf>
    <xf numFmtId="0" fontId="0" fillId="0" borderId="0" xfId="0" applyNumberFormat="1"/>
    <xf numFmtId="0" fontId="2" fillId="5" borderId="1" xfId="7" applyNumberFormat="1" applyFont="1" applyFill="1" applyBorder="1" applyAlignment="1">
      <alignment horizontal="center" vertical="center" wrapText="1"/>
    </xf>
    <xf numFmtId="0" fontId="1" fillId="0" borderId="0" xfId="0" applyNumberFormat="1" applyFont="1" applyBorder="1" applyAlignment="1">
      <alignment horizontal="center" vertical="center" wrapText="1"/>
    </xf>
    <xf numFmtId="0" fontId="1"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21" fillId="0" borderId="0" xfId="5" applyNumberFormat="1"/>
    <xf numFmtId="0" fontId="1" fillId="12" borderId="1" xfId="5" applyNumberFormat="1" applyFont="1" applyFill="1" applyBorder="1" applyAlignment="1">
      <alignment horizontal="center" vertical="center"/>
    </xf>
    <xf numFmtId="0" fontId="1" fillId="0" borderId="0" xfId="5" applyNumberFormat="1" applyFont="1" applyAlignment="1">
      <alignment horizontal="center" vertical="center"/>
    </xf>
    <xf numFmtId="0" fontId="23" fillId="12" borderId="1" xfId="0" applyNumberFormat="1" applyFont="1" applyFill="1" applyBorder="1" applyAlignment="1">
      <alignment horizontal="center" vertical="center"/>
    </xf>
    <xf numFmtId="0" fontId="1" fillId="0" borderId="0" xfId="0" applyNumberFormat="1" applyFont="1" applyAlignment="1">
      <alignment horizontal="left" vertical="center"/>
    </xf>
    <xf numFmtId="0" fontId="13" fillId="12" borderId="1" xfId="0" applyNumberFormat="1" applyFont="1" applyFill="1" applyBorder="1" applyAlignment="1">
      <alignment horizontal="left" vertical="center"/>
    </xf>
    <xf numFmtId="0" fontId="21" fillId="0" borderId="0" xfId="5" applyNumberFormat="1" applyAlignment="1">
      <alignment horizontal="center" vertical="center"/>
    </xf>
    <xf numFmtId="0" fontId="4" fillId="12" borderId="1" xfId="0" applyNumberFormat="1" applyFont="1" applyFill="1" applyBorder="1" applyAlignment="1">
      <alignment horizontal="center" vertical="center"/>
    </xf>
    <xf numFmtId="0" fontId="4" fillId="0" borderId="0" xfId="0" applyNumberFormat="1" applyFont="1" applyAlignment="1">
      <alignment horizontal="left" vertical="center"/>
    </xf>
    <xf numFmtId="0" fontId="21" fillId="0" borderId="1" xfId="5" applyNumberFormat="1" applyBorder="1" applyAlignment="1">
      <alignment horizontal="left" vertical="center"/>
    </xf>
    <xf numFmtId="0" fontId="4" fillId="0" borderId="0" xfId="0" applyNumberFormat="1" applyFont="1" applyAlignment="1">
      <alignment horizontal="center" vertical="center"/>
    </xf>
    <xf numFmtId="0" fontId="21" fillId="0" borderId="0" xfId="5" applyNumberFormat="1" applyAlignment="1"/>
    <xf numFmtId="0" fontId="21" fillId="0" borderId="0" xfId="5" applyNumberFormat="1" applyAlignment="1">
      <alignment horizontal="center"/>
    </xf>
    <xf numFmtId="0" fontId="22" fillId="2" borderId="1" xfId="0" applyNumberFormat="1" applyFont="1" applyFill="1" applyBorder="1" applyAlignment="1">
      <alignment horizontal="left" vertical="center"/>
    </xf>
    <xf numFmtId="0" fontId="4" fillId="0" borderId="0" xfId="5" applyNumberFormat="1" applyFont="1" applyAlignment="1">
      <alignment horizontal="center" vertical="center"/>
    </xf>
    <xf numFmtId="0" fontId="21" fillId="0" borderId="0" xfId="5" quotePrefix="1" applyNumberFormat="1" applyAlignment="1">
      <alignment horizontal="center" vertical="center"/>
    </xf>
    <xf numFmtId="0" fontId="0" fillId="10" borderId="0" xfId="0" applyNumberFormat="1" applyFont="1" applyFill="1" applyAlignment="1">
      <alignment horizontal="left" vertical="center"/>
    </xf>
    <xf numFmtId="0" fontId="0" fillId="10" borderId="0" xfId="0" applyNumberFormat="1" applyFill="1" applyAlignment="1">
      <alignment vertical="center"/>
    </xf>
    <xf numFmtId="0" fontId="13" fillId="12" borderId="1" xfId="0" applyNumberFormat="1" applyFont="1" applyFill="1" applyBorder="1" applyAlignment="1">
      <alignment horizontal="center" vertical="center"/>
    </xf>
    <xf numFmtId="0" fontId="3" fillId="12" borderId="1" xfId="0" applyNumberFormat="1" applyFont="1" applyFill="1" applyBorder="1" applyAlignment="1">
      <alignment horizontal="center" vertical="center" wrapText="1"/>
    </xf>
    <xf numFmtId="0" fontId="3" fillId="6" borderId="1" xfId="0" applyNumberFormat="1" applyFont="1" applyFill="1" applyBorder="1" applyAlignment="1">
      <alignment vertical="center"/>
    </xf>
    <xf numFmtId="0" fontId="3" fillId="6" borderId="1" xfId="0" applyNumberFormat="1" applyFont="1" applyFill="1" applyBorder="1" applyAlignment="1">
      <alignment horizontal="center" vertical="center" wrapText="1"/>
    </xf>
    <xf numFmtId="0" fontId="21" fillId="0" borderId="0" xfId="5" applyNumberFormat="1" applyAlignment="1">
      <alignment vertical="center"/>
    </xf>
    <xf numFmtId="0" fontId="3" fillId="2" borderId="1" xfId="0" applyNumberFormat="1" applyFont="1" applyFill="1" applyBorder="1" applyAlignment="1">
      <alignment vertical="center"/>
    </xf>
    <xf numFmtId="0" fontId="4" fillId="3" borderId="1" xfId="0" applyNumberFormat="1" applyFont="1" applyFill="1" applyBorder="1" applyAlignment="1">
      <alignment horizontal="center" vertical="center" wrapText="1"/>
    </xf>
    <xf numFmtId="0" fontId="4" fillId="2" borderId="1" xfId="0" applyNumberFormat="1" applyFont="1" applyFill="1" applyBorder="1" applyAlignment="1">
      <alignment vertical="center"/>
    </xf>
    <xf numFmtId="0" fontId="4" fillId="4" borderId="1" xfId="0" applyNumberFormat="1" applyFont="1" applyFill="1" applyBorder="1" applyAlignment="1">
      <alignment vertical="center"/>
    </xf>
    <xf numFmtId="0" fontId="4" fillId="4" borderId="1" xfId="0" applyNumberFormat="1" applyFont="1" applyFill="1" applyBorder="1" applyAlignment="1">
      <alignment horizontal="center" vertical="center" wrapText="1"/>
    </xf>
    <xf numFmtId="0" fontId="4" fillId="6" borderId="1" xfId="0" applyNumberFormat="1" applyFont="1" applyFill="1" applyBorder="1" applyAlignment="1">
      <alignment vertical="center"/>
    </xf>
    <xf numFmtId="0" fontId="7" fillId="6" borderId="1" xfId="0" quotePrefix="1" applyNumberFormat="1" applyFont="1" applyFill="1" applyBorder="1" applyAlignment="1">
      <alignment horizontal="center" vertical="center"/>
    </xf>
    <xf numFmtId="0" fontId="7" fillId="6" borderId="1" xfId="0" quotePrefix="1" applyNumberFormat="1" applyFont="1" applyFill="1" applyBorder="1" applyAlignment="1">
      <alignment horizontal="center" vertical="center" wrapText="1"/>
    </xf>
    <xf numFmtId="0" fontId="7" fillId="6" borderId="1" xfId="0" applyNumberFormat="1" applyFont="1" applyFill="1" applyBorder="1" applyAlignment="1">
      <alignment horizontal="center" vertical="center" wrapText="1"/>
    </xf>
    <xf numFmtId="0" fontId="3" fillId="0" borderId="0" xfId="0" applyNumberFormat="1" applyFont="1" applyFill="1" applyBorder="1" applyAlignment="1">
      <alignment vertical="center"/>
    </xf>
    <xf numFmtId="0" fontId="4" fillId="11" borderId="1" xfId="0" applyNumberFormat="1" applyFont="1" applyFill="1" applyBorder="1" applyAlignment="1">
      <alignment vertical="center"/>
    </xf>
    <xf numFmtId="0" fontId="3" fillId="11" borderId="1" xfId="0" applyNumberFormat="1" applyFont="1" applyFill="1" applyBorder="1" applyAlignment="1">
      <alignment horizontal="center" vertical="center" wrapText="1"/>
    </xf>
    <xf numFmtId="0" fontId="4" fillId="6" borderId="1" xfId="0" applyNumberFormat="1" applyFont="1" applyFill="1" applyBorder="1" applyAlignment="1">
      <alignment horizontal="left" vertical="center"/>
    </xf>
    <xf numFmtId="0" fontId="4" fillId="4" borderId="1" xfId="0" applyNumberFormat="1" applyFont="1" applyFill="1" applyBorder="1" applyAlignment="1">
      <alignment horizontal="left" vertical="center"/>
    </xf>
    <xf numFmtId="0" fontId="3" fillId="4" borderId="1" xfId="0" applyNumberFormat="1" applyFont="1" applyFill="1" applyBorder="1" applyAlignment="1">
      <alignment horizontal="left" vertical="center"/>
    </xf>
    <xf numFmtId="0" fontId="4" fillId="2" borderId="1" xfId="0" applyNumberFormat="1" applyFont="1" applyFill="1" applyBorder="1" applyAlignment="1">
      <alignment horizontal="left" vertical="center"/>
    </xf>
    <xf numFmtId="0" fontId="4" fillId="4" borderId="14" xfId="0" applyNumberFormat="1" applyFont="1" applyFill="1" applyBorder="1" applyAlignment="1">
      <alignment vertical="center"/>
    </xf>
    <xf numFmtId="0" fontId="4" fillId="4" borderId="15" xfId="0" applyNumberFormat="1" applyFont="1" applyFill="1" applyBorder="1" applyAlignment="1">
      <alignment horizontal="center" vertical="center" wrapText="1"/>
    </xf>
    <xf numFmtId="0" fontId="4" fillId="4" borderId="16" xfId="0" applyNumberFormat="1" applyFont="1" applyFill="1" applyBorder="1" applyAlignment="1">
      <alignment vertical="center"/>
    </xf>
    <xf numFmtId="0" fontId="4" fillId="4" borderId="18" xfId="0" applyNumberFormat="1" applyFont="1" applyFill="1" applyBorder="1" applyAlignment="1">
      <alignment horizontal="center" vertical="center" wrapText="1"/>
    </xf>
    <xf numFmtId="0" fontId="4" fillId="4" borderId="24" xfId="0" applyNumberFormat="1" applyFont="1" applyFill="1" applyBorder="1" applyAlignment="1">
      <alignment horizontal="center" vertical="center" wrapText="1"/>
    </xf>
    <xf numFmtId="0" fontId="4" fillId="3" borderId="1" xfId="0" applyNumberFormat="1" applyFont="1" applyFill="1" applyBorder="1" applyAlignment="1">
      <alignment horizontal="left" vertical="center"/>
    </xf>
    <xf numFmtId="0" fontId="0" fillId="0" borderId="1" xfId="0" applyNumberFormat="1" applyFont="1" applyBorder="1" applyAlignment="1">
      <alignment horizontal="center" vertical="center" wrapText="1"/>
    </xf>
    <xf numFmtId="0" fontId="0" fillId="0" borderId="0" xfId="5" applyNumberFormat="1" applyFont="1" applyAlignment="1">
      <alignment horizontal="center" vertical="center"/>
    </xf>
    <xf numFmtId="0" fontId="0" fillId="4" borderId="1" xfId="0" applyNumberFormat="1" applyFill="1" applyBorder="1" applyAlignment="1">
      <alignment vertical="center"/>
    </xf>
    <xf numFmtId="0" fontId="0" fillId="0" borderId="1" xfId="0" applyNumberFormat="1" applyFont="1" applyBorder="1" applyAlignment="1">
      <alignment horizontal="center" vertical="center"/>
    </xf>
    <xf numFmtId="0" fontId="0" fillId="0" borderId="0" xfId="0" applyNumberFormat="1" applyFont="1" applyAlignment="1">
      <alignment horizontal="center" vertical="center"/>
    </xf>
    <xf numFmtId="0" fontId="0" fillId="0" borderId="1" xfId="5" applyNumberFormat="1" applyFont="1" applyBorder="1" applyAlignment="1">
      <alignment horizontal="center" vertical="center"/>
    </xf>
    <xf numFmtId="0" fontId="3" fillId="6" borderId="1" xfId="0" applyNumberFormat="1" applyFont="1" applyFill="1" applyBorder="1" applyAlignment="1">
      <alignment horizontal="left" vertical="center"/>
    </xf>
    <xf numFmtId="0" fontId="3" fillId="0" borderId="1" xfId="0" applyNumberFormat="1" applyFont="1" applyFill="1" applyBorder="1" applyAlignment="1">
      <alignment horizontal="left" vertical="center"/>
    </xf>
    <xf numFmtId="0" fontId="1" fillId="7" borderId="0" xfId="0" applyNumberFormat="1" applyFont="1" applyFill="1" applyBorder="1" applyAlignment="1">
      <alignment horizontal="center" vertical="center"/>
    </xf>
    <xf numFmtId="0" fontId="0" fillId="0" borderId="0" xfId="0" applyNumberFormat="1" applyBorder="1" applyAlignment="1">
      <alignment horizontal="left" vertical="center" wrapText="1"/>
    </xf>
    <xf numFmtId="0" fontId="0" fillId="0" borderId="0" xfId="0" applyNumberFormat="1" applyFill="1" applyBorder="1" applyAlignment="1">
      <alignment horizontal="center" vertical="center"/>
    </xf>
    <xf numFmtId="0" fontId="0" fillId="0" borderId="0" xfId="0" applyNumberFormat="1" applyFill="1" applyBorder="1" applyAlignment="1">
      <alignment horizontal="left" vertical="center"/>
    </xf>
    <xf numFmtId="0" fontId="13" fillId="12" borderId="1" xfId="0" applyNumberFormat="1" applyFont="1" applyFill="1" applyBorder="1" applyAlignment="1">
      <alignment horizontal="center" vertical="center" wrapText="1"/>
    </xf>
    <xf numFmtId="0" fontId="7" fillId="6" borderId="1" xfId="0" applyNumberFormat="1" applyFont="1" applyFill="1" applyBorder="1" applyAlignment="1">
      <alignment horizontal="center" vertical="center"/>
    </xf>
    <xf numFmtId="0" fontId="1" fillId="7" borderId="0" xfId="0" applyNumberFormat="1" applyFont="1" applyFill="1" applyBorder="1" applyAlignment="1">
      <alignment horizontal="center" vertical="center" wrapText="1"/>
    </xf>
    <xf numFmtId="0" fontId="3" fillId="6" borderId="1" xfId="0" applyNumberFormat="1" applyFont="1" applyFill="1" applyBorder="1" applyAlignment="1">
      <alignment vertical="center" wrapText="1"/>
    </xf>
    <xf numFmtId="0" fontId="3" fillId="6" borderId="1" xfId="0" applyNumberFormat="1" applyFont="1" applyFill="1" applyBorder="1" applyAlignment="1">
      <alignment horizontal="left" vertical="center" wrapText="1"/>
    </xf>
    <xf numFmtId="3" fontId="3" fillId="6" borderId="1" xfId="0" applyNumberFormat="1" applyFont="1" applyFill="1" applyBorder="1" applyAlignment="1">
      <alignment horizontal="center" vertical="center" wrapText="1"/>
    </xf>
    <xf numFmtId="0" fontId="0" fillId="0" borderId="0" xfId="0" applyNumberFormat="1" applyBorder="1" applyAlignment="1">
      <alignment horizontal="center" wrapText="1"/>
    </xf>
    <xf numFmtId="0" fontId="1" fillId="7" borderId="1" xfId="0" applyNumberFormat="1" applyFont="1" applyFill="1" applyBorder="1" applyAlignment="1">
      <alignment vertical="center"/>
    </xf>
    <xf numFmtId="0" fontId="0" fillId="15" borderId="1" xfId="0" applyNumberFormat="1" applyFill="1" applyBorder="1" applyAlignment="1">
      <alignment horizontal="center" vertical="center"/>
    </xf>
    <xf numFmtId="165" fontId="1" fillId="16" borderId="0" xfId="0" applyFont="1" applyFill="1" applyAlignment="1">
      <alignment horizontal="center"/>
    </xf>
    <xf numFmtId="0" fontId="0" fillId="7" borderId="1" xfId="0" applyNumberFormat="1" applyFill="1" applyBorder="1" applyAlignment="1">
      <alignment horizontal="center" vertical="center"/>
    </xf>
    <xf numFmtId="165" fontId="0" fillId="17" borderId="0" xfId="0" applyFill="1"/>
    <xf numFmtId="0" fontId="0" fillId="17" borderId="1" xfId="0" applyNumberFormat="1" applyFill="1" applyBorder="1" applyAlignment="1">
      <alignment horizontal="center" vertical="center"/>
    </xf>
    <xf numFmtId="0" fontId="1" fillId="0" borderId="1" xfId="0" applyNumberFormat="1" applyFont="1" applyBorder="1" applyAlignment="1">
      <alignment horizontal="center" vertical="center" wrapText="1"/>
    </xf>
    <xf numFmtId="0"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0" fontId="1" fillId="7" borderId="1" xfId="0" applyNumberFormat="1" applyFont="1" applyFill="1" applyBorder="1" applyAlignment="1">
      <alignment horizontal="center" vertical="center"/>
    </xf>
    <xf numFmtId="0" fontId="27" fillId="18" borderId="1" xfId="0" applyNumberFormat="1" applyFont="1" applyFill="1" applyBorder="1" applyAlignment="1">
      <alignment horizontal="left" vertical="center" wrapText="1"/>
    </xf>
    <xf numFmtId="0" fontId="28" fillId="18" borderId="1" xfId="0" applyNumberFormat="1" applyFont="1" applyFill="1" applyBorder="1" applyAlignment="1">
      <alignment horizontal="center" vertical="center" wrapText="1"/>
    </xf>
    <xf numFmtId="0" fontId="0" fillId="0" borderId="0" xfId="5" applyNumberFormat="1" applyFont="1"/>
    <xf numFmtId="0" fontId="1" fillId="0" borderId="1" xfId="0" applyNumberFormat="1" applyFont="1" applyBorder="1" applyAlignment="1">
      <alignment horizontal="center" vertical="center"/>
    </xf>
    <xf numFmtId="0" fontId="4" fillId="0" borderId="1" xfId="0" applyNumberFormat="1" applyFont="1" applyBorder="1" applyAlignment="1">
      <alignment horizontal="center" vertical="center" wrapText="1"/>
    </xf>
    <xf numFmtId="0" fontId="4" fillId="0" borderId="0" xfId="0" applyNumberFormat="1" applyFont="1" applyBorder="1" applyAlignment="1">
      <alignment horizontal="center" vertical="center" wrapText="1"/>
    </xf>
    <xf numFmtId="0" fontId="3" fillId="19" borderId="1" xfId="0" applyNumberFormat="1" applyFont="1" applyFill="1" applyBorder="1" applyAlignment="1">
      <alignment horizontal="center" vertical="center" wrapText="1"/>
    </xf>
    <xf numFmtId="0" fontId="1" fillId="7" borderId="0" xfId="0" applyNumberFormat="1" applyFont="1" applyFill="1" applyBorder="1" applyAlignment="1">
      <alignment horizontal="left" vertical="center" readingOrder="1"/>
    </xf>
    <xf numFmtId="0" fontId="0" fillId="0" borderId="0" xfId="0" applyNumberFormat="1" applyAlignment="1">
      <alignment horizontal="left" vertical="center" readingOrder="1"/>
    </xf>
    <xf numFmtId="0" fontId="0" fillId="0" borderId="0" xfId="0" applyNumberFormat="1" applyFill="1" applyAlignment="1">
      <alignment horizontal="center" vertical="center"/>
    </xf>
    <xf numFmtId="0" fontId="0" fillId="0" borderId="0" xfId="0" applyNumberFormat="1" applyFill="1" applyBorder="1" applyAlignment="1">
      <alignment horizontal="left" vertical="center" wrapText="1"/>
    </xf>
    <xf numFmtId="0" fontId="0" fillId="20" borderId="0" xfId="0" applyNumberFormat="1" applyFill="1" applyAlignment="1">
      <alignment horizontal="center" vertical="center"/>
    </xf>
    <xf numFmtId="0" fontId="0" fillId="20" borderId="0" xfId="0" applyNumberFormat="1" applyFill="1" applyBorder="1" applyAlignment="1">
      <alignment horizontal="center" vertical="center"/>
    </xf>
    <xf numFmtId="0" fontId="0" fillId="20" borderId="0" xfId="0" applyNumberFormat="1" applyFill="1" applyBorder="1" applyAlignment="1">
      <alignment horizontal="left" vertical="center" wrapText="1"/>
    </xf>
    <xf numFmtId="0" fontId="0" fillId="20" borderId="0" xfId="0" applyNumberFormat="1" applyFill="1" applyAlignment="1">
      <alignment horizontal="left" vertical="center" readingOrder="1"/>
    </xf>
    <xf numFmtId="0"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0" fontId="20" fillId="8" borderId="3" xfId="1" applyNumberFormat="1" applyFont="1" applyFill="1" applyAlignment="1">
      <alignment horizontal="center" vertical="center"/>
    </xf>
    <xf numFmtId="0" fontId="20" fillId="8" borderId="0" xfId="1" applyNumberFormat="1" applyFont="1" applyFill="1" applyBorder="1" applyAlignment="1">
      <alignment horizontal="center" vertical="center"/>
    </xf>
    <xf numFmtId="0" fontId="24" fillId="13" borderId="21" xfId="6" applyNumberFormat="1" applyFont="1" applyBorder="1" applyAlignment="1">
      <alignment horizontal="center" vertical="center"/>
    </xf>
    <xf numFmtId="0" fontId="24" fillId="13" borderId="22" xfId="6" applyNumberFormat="1" applyFont="1" applyBorder="1" applyAlignment="1">
      <alignment horizontal="center" vertical="center"/>
    </xf>
    <xf numFmtId="0" fontId="24" fillId="13" borderId="23" xfId="6" applyNumberFormat="1" applyFont="1" applyBorder="1" applyAlignment="1">
      <alignment horizontal="center" vertical="center"/>
    </xf>
    <xf numFmtId="0" fontId="1" fillId="0" borderId="25" xfId="0" applyNumberFormat="1" applyFont="1" applyBorder="1" applyAlignment="1">
      <alignment horizontal="center" vertical="center" wrapText="1"/>
    </xf>
    <xf numFmtId="0" fontId="1" fillId="0" borderId="27" xfId="0" applyNumberFormat="1" applyFont="1" applyBorder="1" applyAlignment="1">
      <alignment horizontal="center" vertical="center" wrapText="1"/>
    </xf>
    <xf numFmtId="0" fontId="1" fillId="0" borderId="1" xfId="0" applyNumberFormat="1" applyFont="1" applyBorder="1" applyAlignment="1">
      <alignment horizontal="center" vertical="center"/>
    </xf>
    <xf numFmtId="0" fontId="1" fillId="7" borderId="25" xfId="0" applyNumberFormat="1" applyFont="1" applyFill="1" applyBorder="1" applyAlignment="1">
      <alignment horizontal="center" vertical="center"/>
    </xf>
    <xf numFmtId="0" fontId="1" fillId="7" borderId="26" xfId="0" applyNumberFormat="1" applyFont="1" applyFill="1" applyBorder="1" applyAlignment="1">
      <alignment horizontal="center" vertical="center"/>
    </xf>
    <xf numFmtId="0" fontId="1" fillId="7" borderId="27" xfId="0" applyNumberFormat="1" applyFont="1" applyFill="1" applyBorder="1" applyAlignment="1">
      <alignment horizontal="center" vertical="center"/>
    </xf>
    <xf numFmtId="0" fontId="1" fillId="0" borderId="1" xfId="0" applyNumberFormat="1" applyFont="1" applyBorder="1" applyAlignment="1">
      <alignment horizontal="center" vertical="center" wrapText="1"/>
    </xf>
    <xf numFmtId="0" fontId="1" fillId="0" borderId="9" xfId="0" applyNumberFormat="1" applyFont="1" applyBorder="1" applyAlignment="1">
      <alignment horizontal="center" vertical="center"/>
    </xf>
    <xf numFmtId="0" fontId="1" fillId="0" borderId="10" xfId="0" applyNumberFormat="1" applyFont="1" applyBorder="1" applyAlignment="1">
      <alignment horizontal="center" vertical="center"/>
    </xf>
    <xf numFmtId="0" fontId="0" fillId="0" borderId="11" xfId="0" applyNumberFormat="1" applyBorder="1" applyAlignment="1">
      <alignment horizontal="center" vertical="center"/>
    </xf>
  </cellXfs>
  <cellStyles count="9">
    <cellStyle name="Comma" xfId="7" builtinId="3"/>
    <cellStyle name="Explanatory Text" xfId="4" builtinId="53"/>
    <cellStyle name="Heading 1" xfId="1" builtinId="16"/>
    <cellStyle name="Heading 2" xfId="2" builtinId="17"/>
    <cellStyle name="Normal" xfId="0" builtinId="0"/>
    <cellStyle name="Normal 2" xfId="5"/>
    <cellStyle name="Normal 3" xfId="8"/>
    <cellStyle name="Note" xfId="6" builtinId="10"/>
    <cellStyle name="Warning Text" xfId="3" builtinId="11"/>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L:\MHR\BURGATA%2020190310%202500%202570\2019-03-10_01-18-33\ProcParams_.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ystem Parameters"/>
      <sheetName val="Sequences"/>
      <sheetName val="Search1"/>
      <sheetName val="Search2"/>
      <sheetName val="Search3"/>
      <sheetName val="Search4"/>
      <sheetName val="Search5"/>
      <sheetName val="Track1"/>
      <sheetName val="Track2"/>
      <sheetName val="Track3"/>
      <sheetName val="Prop1"/>
      <sheetName val="Prop2"/>
      <sheetName val="Prop3"/>
      <sheetName val="Test"/>
      <sheetName val="RPM"/>
      <sheetName val="AGC Set Table"/>
      <sheetName val="Options List"/>
      <sheetName val="Parameters List"/>
      <sheetName val="XML Keys"/>
      <sheetName val="XML File Parameters"/>
      <sheetName val="Excel Explanation"/>
      <sheetName val="Modes Definition"/>
    </sheetNames>
    <sheetDataSet>
      <sheetData sheetId="0">
        <row r="9">
          <cell r="B9" t="str">
            <v># Rcvrs</v>
          </cell>
          <cell r="C9">
            <v>5</v>
          </cell>
        </row>
        <row r="10">
          <cell r="B10" t="str">
            <v># Patches in 1st Rx</v>
          </cell>
          <cell r="C10">
            <v>10</v>
          </cell>
        </row>
        <row r="11">
          <cell r="B11" t="str">
            <v># Patches in Ref (Guard) Rx</v>
          </cell>
          <cell r="C11">
            <v>1</v>
          </cell>
        </row>
        <row r="12">
          <cell r="B12" t="str">
            <v>Typical System Gain (dB) - 1st Rx</v>
          </cell>
          <cell r="C12">
            <v>59.76</v>
          </cell>
        </row>
        <row r="13">
          <cell r="B13" t="str">
            <v>Typical System Gain (dB) - Ref (Guard) Rx</v>
          </cell>
          <cell r="C13">
            <v>54.1</v>
          </cell>
        </row>
        <row r="14">
          <cell r="B14" t="str">
            <v>Typical 1st Rx Calibration (dB)</v>
          </cell>
          <cell r="C14">
            <v>4.3400000000000105</v>
          </cell>
        </row>
        <row r="15">
          <cell r="B15" t="str">
            <v>System Propagation Delay (us)</v>
          </cell>
          <cell r="C15">
            <v>0.15</v>
          </cell>
        </row>
        <row r="16">
          <cell r="B16" t="str">
            <v>c (m/s)</v>
          </cell>
          <cell r="C16">
            <v>299792458</v>
          </cell>
        </row>
        <row r="17">
          <cell r="B17" t="str">
            <v>c/2 (m/μs)</v>
          </cell>
          <cell r="C17">
            <v>149.89622900000001</v>
          </cell>
        </row>
        <row r="18">
          <cell r="B18" t="str">
            <v>Freq (GHz)</v>
          </cell>
          <cell r="C18">
            <v>3.5</v>
          </cell>
        </row>
        <row r="19">
          <cell r="B19" t="str">
            <v>Phase Noise Level (dBc/Hz)</v>
          </cell>
          <cell r="C19">
            <v>-125</v>
          </cell>
        </row>
        <row r="20">
          <cell r="B20" t="str">
            <v>Polarization Loss (dB)</v>
          </cell>
          <cell r="C20">
            <v>0</v>
          </cell>
        </row>
        <row r="21">
          <cell r="B21" t="str">
            <v>λ (m)</v>
          </cell>
          <cell r="C21">
            <v>8.5654988000000001E-2</v>
          </cell>
        </row>
        <row r="22">
          <cell r="B22" t="str">
            <v>Doppler factor (Hz/(m/sec))</v>
          </cell>
          <cell r="C22">
            <v>23.349486663870643</v>
          </cell>
        </row>
        <row r="23">
          <cell r="B23" t="str">
            <v>ALC</v>
          </cell>
          <cell r="C23">
            <v>0</v>
          </cell>
        </row>
        <row r="24">
          <cell r="B24" t="str">
            <v>Actual System Gain (dB) - 1st Rx</v>
          </cell>
          <cell r="C24">
            <v>60</v>
          </cell>
        </row>
        <row r="25">
          <cell r="B25" t="str">
            <v>Actual System Gain (dB) - Ref Rx</v>
          </cell>
          <cell r="C25">
            <v>54</v>
          </cell>
        </row>
        <row r="26">
          <cell r="B26" t="str">
            <v>Actual 1st Rx Calibration (dB)</v>
          </cell>
          <cell r="C26">
            <v>4</v>
          </cell>
        </row>
        <row r="27">
          <cell r="B27" t="str">
            <v>KT (dBm/Hz)</v>
          </cell>
          <cell r="C27">
            <v>-174</v>
          </cell>
        </row>
        <row r="28">
          <cell r="B28" t="str">
            <v>Sample Period (us)</v>
          </cell>
          <cell r="C28">
            <v>1.2500000000000001E-2</v>
          </cell>
        </row>
        <row r="29">
          <cell r="B29" t="str">
            <v>ADC Bandwidth (MHz)</v>
          </cell>
          <cell r="C29">
            <v>40</v>
          </cell>
        </row>
        <row r="30">
          <cell r="B30" t="str">
            <v>ADC Noise Level (dBm)</v>
          </cell>
          <cell r="C30">
            <v>-65</v>
          </cell>
        </row>
        <row r="31">
          <cell r="B31" t="str">
            <v>Tapering Signal Gain Loss (dB) - 1st Rx</v>
          </cell>
          <cell r="C31">
            <v>3.51</v>
          </cell>
        </row>
        <row r="32">
          <cell r="B32" t="str">
            <v>Tapering Noise Gain Loss (dB) - 1st Rx</v>
          </cell>
          <cell r="C32">
            <v>3.1337000000000002</v>
          </cell>
        </row>
        <row r="33">
          <cell r="B33" t="str">
            <v>Tapering Signal Gain Loss (dB) - Ref (Guard) Rx</v>
          </cell>
          <cell r="C33">
            <v>0</v>
          </cell>
        </row>
        <row r="34">
          <cell r="B34" t="str">
            <v>Tapering Noise Gain Loss (dB) - Ref (Guard) Rx</v>
          </cell>
          <cell r="C34">
            <v>0</v>
          </cell>
        </row>
        <row r="35">
          <cell r="B35" t="str">
            <v>Tapering Rx Loss (dB)</v>
          </cell>
          <cell r="C35">
            <v>0.37629999999999963</v>
          </cell>
        </row>
        <row r="36">
          <cell r="B36" t="str">
            <v>Number of T/R modules</v>
          </cell>
          <cell r="C36">
            <v>41</v>
          </cell>
        </row>
        <row r="37">
          <cell r="B37" t="str">
            <v>Power per T/R module</v>
          </cell>
          <cell r="C37">
            <v>10</v>
          </cell>
        </row>
        <row r="38">
          <cell r="B38" t="str">
            <v>Gain per T/R module [dB]</v>
          </cell>
          <cell r="C38">
            <v>5</v>
          </cell>
        </row>
        <row r="39">
          <cell r="B39" t="str">
            <v>Available Power (dBm)</v>
          </cell>
          <cell r="C39">
            <v>56.127838567197358</v>
          </cell>
        </row>
        <row r="40">
          <cell r="B40" t="str">
            <v>Gt,Gr</v>
          </cell>
          <cell r="C40">
            <v>21.127838567197355</v>
          </cell>
        </row>
        <row r="41">
          <cell r="B41" t="str">
            <v>Gr - 1st Rx</v>
          </cell>
          <cell r="C41">
            <v>15</v>
          </cell>
        </row>
        <row r="42">
          <cell r="B42" t="str">
            <v>Gr - Ref (Guard) Rx</v>
          </cell>
          <cell r="C42">
            <v>5</v>
          </cell>
        </row>
        <row r="43">
          <cell r="B43" t="str">
            <v>λ2 (dB/m2)</v>
          </cell>
          <cell r="C43">
            <v>-21.344946828446961</v>
          </cell>
        </row>
        <row r="44">
          <cell r="B44" t="str">
            <v>(4p)^3 (dB)</v>
          </cell>
          <cell r="C44">
            <v>32.976295920662885</v>
          </cell>
        </row>
        <row r="45">
          <cell r="B45" t="str">
            <v>Miscellaneous Losses (dB)</v>
          </cell>
          <cell r="C45">
            <v>0</v>
          </cell>
        </row>
        <row r="46">
          <cell r="B46" t="str">
            <v>FFT Window: BH</v>
          </cell>
          <cell r="C46" t="str">
            <v>BH</v>
          </cell>
        </row>
        <row r="47">
          <cell r="B47" t="str">
            <v>Signal Gain Loss (dB)</v>
          </cell>
          <cell r="C47">
            <v>8.9499999999999993</v>
          </cell>
        </row>
        <row r="48">
          <cell r="B48" t="str">
            <v>Noise Gain Loss (dB)</v>
          </cell>
          <cell r="C48">
            <v>5.9</v>
          </cell>
        </row>
        <row r="49">
          <cell r="B49" t="str">
            <v>Normalized ENBW (dB)</v>
          </cell>
          <cell r="C49">
            <v>3.0499999999999989</v>
          </cell>
        </row>
        <row r="50">
          <cell r="B50" t="str">
            <v>Window 3dB BW (bins)</v>
          </cell>
          <cell r="C50">
            <v>1.9</v>
          </cell>
        </row>
        <row r="51">
          <cell r="B51" t="str">
            <v>Window 6dB BW (bins)</v>
          </cell>
          <cell r="C51">
            <v>2.72</v>
          </cell>
        </row>
        <row r="52">
          <cell r="B52" t="str">
            <v>Scallop Loss (dB)</v>
          </cell>
          <cell r="C52">
            <v>0.41278500000000001</v>
          </cell>
        </row>
        <row r="53">
          <cell r="B53" t="str">
            <v>Rectangular 6dB BW (bins)</v>
          </cell>
          <cell r="C53">
            <v>1.21</v>
          </cell>
        </row>
        <row r="54">
          <cell r="B54" t="str">
            <v>Window Peak Spreading (bins)</v>
          </cell>
          <cell r="C54">
            <v>9</v>
          </cell>
        </row>
        <row r="55">
          <cell r="B55" t="str">
            <v>#samples for noise estimation</v>
          </cell>
          <cell r="C55">
            <v>12</v>
          </cell>
        </row>
        <row r="56">
          <cell r="B56" t="str">
            <v>Straddling Loss (dB) - w/o OL</v>
          </cell>
          <cell r="C56">
            <v>3</v>
          </cell>
        </row>
        <row r="57">
          <cell r="B57" t="str">
            <v>Straddling Loss (dB) - with 50% OL</v>
          </cell>
          <cell r="C57">
            <v>1.25</v>
          </cell>
        </row>
        <row r="58">
          <cell r="B58" t="str">
            <v>Freq Desynchronization factor (ppb)</v>
          </cell>
          <cell r="C58">
            <v>5</v>
          </cell>
        </row>
        <row r="59">
          <cell r="B59" t="str">
            <v>Freq Desynchronization factor (Hz)</v>
          </cell>
          <cell r="C59">
            <v>17.5</v>
          </cell>
        </row>
        <row r="60">
          <cell r="B60" t="str">
            <v>Freq Desynchronization factor (m/s)</v>
          </cell>
          <cell r="C60">
            <v>0.74948114500000007</v>
          </cell>
        </row>
        <row r="61">
          <cell r="B61" t="str">
            <v>Time Desynchronization factor (ppm)</v>
          </cell>
          <cell r="C61">
            <v>0.2</v>
          </cell>
        </row>
        <row r="62">
          <cell r="B62" t="str">
            <v>Synchronization window per seq (μs)</v>
          </cell>
          <cell r="C62">
            <v>0.1</v>
          </cell>
        </row>
        <row r="63">
          <cell r="B63" t="str">
            <v>#RG in Optimized Mode (one side)</v>
          </cell>
          <cell r="C63">
            <v>7</v>
          </cell>
        </row>
        <row r="64">
          <cell r="B64" t="str">
            <v>Total #RG in Optimized Mode</v>
          </cell>
          <cell r="C64">
            <v>15</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A3">
            <v>0</v>
          </cell>
          <cell r="B3">
            <v>0</v>
          </cell>
          <cell r="C3">
            <v>0</v>
          </cell>
          <cell r="D3">
            <v>2.56</v>
          </cell>
          <cell r="E3">
            <v>2.76</v>
          </cell>
          <cell r="F3">
            <v>2.57</v>
          </cell>
          <cell r="G3">
            <v>2.77</v>
          </cell>
          <cell r="H3">
            <v>0</v>
          </cell>
          <cell r="I3">
            <v>0</v>
          </cell>
          <cell r="J3">
            <v>2.4700000000000002</v>
          </cell>
          <cell r="K3">
            <v>2.48</v>
          </cell>
        </row>
        <row r="4">
          <cell r="A4">
            <v>1</v>
          </cell>
          <cell r="B4">
            <v>0</v>
          </cell>
          <cell r="C4">
            <v>15</v>
          </cell>
          <cell r="D4">
            <v>2.59</v>
          </cell>
          <cell r="E4">
            <v>2.82</v>
          </cell>
          <cell r="F4">
            <v>2.75</v>
          </cell>
          <cell r="G4">
            <v>3.12</v>
          </cell>
          <cell r="H4">
            <v>0</v>
          </cell>
          <cell r="I4">
            <v>5</v>
          </cell>
          <cell r="J4">
            <v>2.4700000000000002</v>
          </cell>
          <cell r="K4">
            <v>2.5299999999999998</v>
          </cell>
        </row>
        <row r="5">
          <cell r="A5">
            <v>2</v>
          </cell>
          <cell r="B5">
            <v>0</v>
          </cell>
          <cell r="C5">
            <v>20</v>
          </cell>
          <cell r="D5">
            <v>2.66</v>
          </cell>
          <cell r="E5">
            <v>2.95</v>
          </cell>
          <cell r="F5">
            <v>3.13</v>
          </cell>
          <cell r="G5">
            <v>3.81</v>
          </cell>
          <cell r="H5">
            <v>0</v>
          </cell>
          <cell r="I5">
            <v>5</v>
          </cell>
          <cell r="J5">
            <v>2.4700000000000002</v>
          </cell>
          <cell r="K5">
            <v>2.5299999999999998</v>
          </cell>
        </row>
        <row r="6">
          <cell r="A6">
            <v>3</v>
          </cell>
          <cell r="B6">
            <v>0</v>
          </cell>
          <cell r="C6">
            <v>25</v>
          </cell>
          <cell r="D6">
            <v>2.86</v>
          </cell>
          <cell r="E6">
            <v>3.33</v>
          </cell>
          <cell r="F6">
            <v>4.1399999999999997</v>
          </cell>
          <cell r="G6">
            <v>5.47</v>
          </cell>
          <cell r="H6">
            <v>0</v>
          </cell>
          <cell r="I6">
            <v>5</v>
          </cell>
          <cell r="J6">
            <v>2.4700000000000002</v>
          </cell>
          <cell r="K6">
            <v>2.5299999999999998</v>
          </cell>
        </row>
        <row r="7">
          <cell r="A7">
            <v>4</v>
          </cell>
          <cell r="B7">
            <v>5</v>
          </cell>
          <cell r="C7">
            <v>25</v>
          </cell>
          <cell r="D7">
            <v>3.53</v>
          </cell>
          <cell r="E7">
            <v>4.5</v>
          </cell>
          <cell r="F7">
            <v>6.39</v>
          </cell>
          <cell r="G7">
            <v>8.5399999999999991</v>
          </cell>
          <cell r="H7">
            <v>0</v>
          </cell>
          <cell r="I7">
            <v>10</v>
          </cell>
          <cell r="J7">
            <v>2.5</v>
          </cell>
          <cell r="K7">
            <v>2.68</v>
          </cell>
        </row>
        <row r="8">
          <cell r="A8">
            <v>5</v>
          </cell>
          <cell r="B8">
            <v>10</v>
          </cell>
          <cell r="C8">
            <v>25</v>
          </cell>
          <cell r="D8">
            <v>5.16</v>
          </cell>
          <cell r="E8">
            <v>6.93</v>
          </cell>
          <cell r="F8">
            <v>9.9600000000000009</v>
          </cell>
          <cell r="G8">
            <v>12.7</v>
          </cell>
          <cell r="H8">
            <v>0</v>
          </cell>
          <cell r="I8">
            <v>15</v>
          </cell>
          <cell r="J8">
            <v>2.58</v>
          </cell>
          <cell r="K8">
            <v>3.13</v>
          </cell>
        </row>
        <row r="9">
          <cell r="A9">
            <v>6</v>
          </cell>
          <cell r="B9">
            <v>15</v>
          </cell>
          <cell r="C9">
            <v>25</v>
          </cell>
          <cell r="D9">
            <v>8.14</v>
          </cell>
          <cell r="E9">
            <v>10.64</v>
          </cell>
          <cell r="F9">
            <v>14.39</v>
          </cell>
          <cell r="G9">
            <v>17.39</v>
          </cell>
          <cell r="H9">
            <v>0</v>
          </cell>
          <cell r="I9">
            <v>20</v>
          </cell>
          <cell r="J9">
            <v>2.82</v>
          </cell>
          <cell r="K9">
            <v>4.3</v>
          </cell>
        </row>
      </sheetData>
      <sheetData sheetId="16"/>
      <sheetData sheetId="17">
        <row r="1">
          <cell r="B1" t="str">
            <v>Parameter Description</v>
          </cell>
        </row>
        <row r="3">
          <cell r="B3" t="str">
            <v>Proc. Chan. 1 - Steers Definition</v>
          </cell>
        </row>
        <row r="4">
          <cell r="B4" t="str">
            <v>Antenna Number (1 or 2)</v>
          </cell>
        </row>
        <row r="5">
          <cell r="B5" t="str">
            <v>Steer Az (clockwise - positive)</v>
          </cell>
        </row>
        <row r="6">
          <cell r="B6" t="str">
            <v>Steer El (up - positive)</v>
          </cell>
        </row>
        <row r="8">
          <cell r="B8" t="str">
            <v>Proc. Chan. 2 - Steers Definition</v>
          </cell>
        </row>
        <row r="9">
          <cell r="B9" t="str">
            <v>Antenna Number (1 or 2)</v>
          </cell>
        </row>
        <row r="10">
          <cell r="B10" t="str">
            <v>Steer Az (clockwise - positive)</v>
          </cell>
        </row>
        <row r="11">
          <cell r="B11" t="str">
            <v>Steer El (up - positive)</v>
          </cell>
        </row>
        <row r="13">
          <cell r="B13" t="str">
            <v>Processing Channel Number (1 or 2)</v>
          </cell>
        </row>
        <row r="14">
          <cell r="B14" t="str">
            <v>Beam type (relative to processing channel)</v>
          </cell>
        </row>
        <row r="15">
          <cell r="B15" t="str">
            <v>Stagger number (1 or 2)</v>
          </cell>
        </row>
        <row r="16">
          <cell r="B16" t="str">
            <v>Receiving Patch Group (1 or 2)</v>
          </cell>
        </row>
        <row r="17">
          <cell r="B17" t="str">
            <v>Tracking (0 or 1)</v>
          </cell>
        </row>
        <row r="18">
          <cell r="B18" t="str">
            <v>Stagger PRI Sequence (Chip Units)</v>
          </cell>
        </row>
        <row r="20">
          <cell r="B20" t="str">
            <v>P-State Name</v>
          </cell>
        </row>
        <row r="21">
          <cell r="B21" t="str">
            <v>Apply RG Optimization</v>
          </cell>
        </row>
        <row r="22">
          <cell r="B22" t="str">
            <v>Sequential Repetition</v>
          </cell>
        </row>
        <row r="23">
          <cell r="B23" t="str">
            <v>Max Dets to process</v>
          </cell>
        </row>
        <row r="24">
          <cell r="B24" t="str">
            <v>Number of Steers</v>
          </cell>
        </row>
        <row r="25">
          <cell r="B25" t="str">
            <v>Number of Beam Types</v>
          </cell>
        </row>
        <row r="26">
          <cell r="B26" t="str">
            <v>Number of Beams</v>
          </cell>
        </row>
        <row r="27">
          <cell r="B27" t="str">
            <v>Number of Beams at Antenna1</v>
          </cell>
        </row>
        <row r="28">
          <cell r="B28" t="str">
            <v>Number of Beams at Antenna2</v>
          </cell>
        </row>
        <row r="29">
          <cell r="B29" t="str">
            <v>Desired CPI (ms)</v>
          </cell>
        </row>
        <row r="30">
          <cell r="B30" t="str">
            <v>Actual CPI (ms)</v>
          </cell>
        </row>
        <row r="31">
          <cell r="B31" t="str">
            <v>Multi Stagger - PRI Ext (in Chip Units)</v>
          </cell>
        </row>
        <row r="32">
          <cell r="B32" t="str">
            <v>Stagger1 PRI (µs)</v>
          </cell>
        </row>
        <row r="33">
          <cell r="B33" t="str">
            <v>Stagger2 PRI (µs)</v>
          </cell>
        </row>
        <row r="34">
          <cell r="B34" t="str">
            <v>Number of Staggers (1 or 2)</v>
          </cell>
        </row>
        <row r="35">
          <cell r="B35" t="str">
            <v>Stagger Loss (dB)</v>
          </cell>
        </row>
        <row r="36">
          <cell r="B36" t="str">
            <v>PW (µs)</v>
          </cell>
        </row>
        <row r="37">
          <cell r="B37" t="str">
            <v>Actual Bandwidth (MHz)</v>
          </cell>
        </row>
        <row r="38">
          <cell r="B38" t="str">
            <v>Range Resolution (m)</v>
          </cell>
        </row>
        <row r="39">
          <cell r="B39" t="str">
            <v>Range Gate Width (m)</v>
          </cell>
        </row>
        <row r="40">
          <cell r="B40" t="str">
            <v>Max Target Range (m)</v>
          </cell>
        </row>
        <row r="41">
          <cell r="B41" t="str">
            <v>Min Range Offset (m)</v>
          </cell>
        </row>
        <row r="42">
          <cell r="B42" t="str">
            <v>Max Range Offset (m)</v>
          </cell>
        </row>
        <row r="43">
          <cell r="B43" t="str">
            <v>Min Range (m)</v>
          </cell>
        </row>
        <row r="44">
          <cell r="B44" t="str">
            <v>Max Range (m)</v>
          </cell>
        </row>
        <row r="45">
          <cell r="B45" t="str">
            <v>NRG</v>
          </cell>
        </row>
        <row r="46">
          <cell r="B46" t="str">
            <v>TCHIP (even number)</v>
          </cell>
        </row>
        <row r="47">
          <cell r="B47" t="str">
            <v>Range Gate Overlap
(0 - 0%, 1 - 50%)</v>
          </cell>
        </row>
        <row r="48">
          <cell r="B48" t="str">
            <v>NSERIES</v>
          </cell>
        </row>
        <row r="49">
          <cell r="B49" t="str">
            <v>POSTDEC</v>
          </cell>
        </row>
        <row r="50">
          <cell r="B50" t="str">
            <v>Max Abs Velocity Meas (m/s)</v>
          </cell>
        </row>
        <row r="51">
          <cell r="B51" t="str">
            <v>Npoints (up to FFT length)</v>
          </cell>
        </row>
        <row r="52">
          <cell r="B52" t="str">
            <v>FFT length (limited to 8192)</v>
          </cell>
        </row>
        <row r="53">
          <cell r="B53" t="str">
            <v>NCRG(per rcvr,limited to 512)</v>
          </cell>
        </row>
        <row r="54">
          <cell r="B54" t="str">
            <v>NCRG(all rcvrs)</v>
          </cell>
        </row>
        <row r="55">
          <cell r="B55" t="str">
            <v>TCHIP (m)</v>
          </cell>
        </row>
        <row r="56">
          <cell r="B56" t="str">
            <v>Clutter Velocity Limit (m/s)</v>
          </cell>
        </row>
        <row r="57">
          <cell r="B57" t="str">
            <v>Clutter Margin (m/s)</v>
          </cell>
        </row>
        <row r="58">
          <cell r="B58" t="str">
            <v>Min Velocity (m/s)</v>
          </cell>
        </row>
        <row r="59">
          <cell r="B59" t="str">
            <v>Max Velocity (m/s)</v>
          </cell>
        </row>
        <row r="60">
          <cell r="B60" t="str">
            <v>Loss Velocity (m/s)</v>
          </cell>
        </row>
        <row r="61">
          <cell r="B61" t="str">
            <v>Velocity Loss (dB)</v>
          </cell>
        </row>
        <row r="62">
          <cell r="B62" t="str">
            <v>Max Acceleration (m/s2)</v>
          </cell>
        </row>
        <row r="63">
          <cell r="B63" t="str">
            <v>Loss Acceleration (m/s2)</v>
          </cell>
        </row>
        <row r="64">
          <cell r="B64" t="str">
            <v>Acceleration Loss (dB)</v>
          </cell>
        </row>
        <row r="65">
          <cell r="B65" t="str">
            <v>fft2doppler (m/s per FFT bin)</v>
          </cell>
        </row>
        <row r="66">
          <cell r="B66" t="str">
            <v>Optimal Peak2Peak Seperation (m/s)</v>
          </cell>
        </row>
        <row r="67">
          <cell r="B67" t="str">
            <v># FFT bins of peak spreading (one side)</v>
          </cell>
        </row>
        <row r="68">
          <cell r="B68" t="str">
            <v># FFT bins for noise estimation (one side)</v>
          </cell>
        </row>
        <row r="69">
          <cell r="B69" t="str">
            <v># FFT bins of clutter margin (one side)</v>
          </cell>
        </row>
        <row r="70">
          <cell r="B70" t="str">
            <v># FFT bins to min velocity</v>
          </cell>
        </row>
        <row r="71">
          <cell r="B71" t="str">
            <v># FFT bins to max velocity</v>
          </cell>
        </row>
        <row r="72">
          <cell r="B72" t="str">
            <v>Noise Mask (example: '-13,-4,4,13)</v>
          </cell>
        </row>
        <row r="73">
          <cell r="B73" t="str">
            <v>Options (see Options List sheet)</v>
          </cell>
        </row>
        <row r="74">
          <cell r="B74" t="str">
            <v>SNR Threshold (dB)</v>
          </cell>
        </row>
        <row r="75">
          <cell r="B75" t="str">
            <v>Probability of False Alarm</v>
          </cell>
        </row>
        <row r="76">
          <cell r="B76" t="str">
            <v>Probability of False Alarm per CPI</v>
          </cell>
        </row>
        <row r="77">
          <cell r="B77" t="str">
            <v>Probability of False Alarm per SEC</v>
          </cell>
        </row>
        <row r="78">
          <cell r="B78" t="str">
            <v>Max Tgt SNR (dB)</v>
          </cell>
        </row>
        <row r="79">
          <cell r="B79" t="str">
            <v>STC Init Range (m)</v>
          </cell>
        </row>
        <row r="80">
          <cell r="B80" t="str">
            <v>Tapered Array (0/1)</v>
          </cell>
        </row>
        <row r="81">
          <cell r="B81" t="str">
            <v>AGC Set (1-6)</v>
          </cell>
        </row>
        <row r="82">
          <cell r="B82" t="str">
            <v>RF AGC (dB) - 1st Rx</v>
          </cell>
        </row>
        <row r="83">
          <cell r="B83" t="str">
            <v>IF AGC (dB) - 1st Rx</v>
          </cell>
        </row>
        <row r="84">
          <cell r="B84" t="str">
            <v>RF AGC (dB) - Ref Rx</v>
          </cell>
        </row>
        <row r="85">
          <cell r="B85" t="str">
            <v>IF AGC (dB) - Ref Rx</v>
          </cell>
        </row>
        <row r="86">
          <cell r="B86" t="str">
            <v>NF @ADCout (dB) - 1st Rx</v>
          </cell>
        </row>
        <row r="87">
          <cell r="B87" t="str">
            <v>NF @ADCout (dB) - Ref Rx</v>
          </cell>
        </row>
        <row r="88">
          <cell r="B88" t="str">
            <v>RCS (m^2)</v>
          </cell>
        </row>
        <row r="89">
          <cell r="B89" t="str">
            <v>σ(dB/m2)</v>
          </cell>
        </row>
        <row r="90">
          <cell r="B90" t="str">
            <v>Tgt min range @ADCin (dBm) - Ref. Rx</v>
          </cell>
        </row>
        <row r="91">
          <cell r="B91" t="str">
            <v>Tgt max range @ADCin (dBm) - Ref. Rx</v>
          </cell>
        </row>
        <row r="92">
          <cell r="B92" t="str">
            <v>1st Rx Noise @ADCout (dBm/bin)</v>
          </cell>
        </row>
        <row r="93">
          <cell r="B93" t="str">
            <v>Ref Rx Noise @ADCout (dBm/bin)</v>
          </cell>
        </row>
        <row r="94">
          <cell r="B94" t="str">
            <v>Total Noise @ADCout (dBm/bin)</v>
          </cell>
        </row>
        <row r="95">
          <cell r="B95" t="str">
            <v>Rx Processing Gain (dB)</v>
          </cell>
        </row>
        <row r="96">
          <cell r="B96" t="str">
            <v>Total Processing Gain (dB)</v>
          </cell>
        </row>
        <row r="97">
          <cell r="B97" t="str">
            <v>Total Loss (dB)</v>
          </cell>
        </row>
        <row r="98">
          <cell r="B98" t="str">
            <v>SNR min range (dB)</v>
          </cell>
        </row>
        <row r="99">
          <cell r="B99" t="str">
            <v>SNR max range (dB)</v>
          </cell>
        </row>
        <row r="100">
          <cell r="B100" t="str">
            <v>Duty cycle per beam</v>
          </cell>
        </row>
        <row r="101">
          <cell r="B101" t="str">
            <v>Buffer size (KB)</v>
          </cell>
        </row>
        <row r="102">
          <cell r="B102" t="str">
            <v>PCIe Rate MB/s</v>
          </cell>
        </row>
        <row r="104">
          <cell r="B104" t="str">
            <v>Total PRI (μs)</v>
          </cell>
        </row>
        <row r="105">
          <cell r="B105" t="str">
            <v>Unambiguous Range (km)</v>
          </cell>
        </row>
        <row r="106">
          <cell r="B106" t="str">
            <v>Total PRF (kHz)</v>
          </cell>
        </row>
        <row r="107">
          <cell r="B107" t="str">
            <v>Folding (Blind) Velocity (m/s)</v>
          </cell>
        </row>
        <row r="108">
          <cell r="B108" t="str">
            <v>Max Trk Vr STD for Res Vel Amb (m/s)</v>
          </cell>
        </row>
        <row r="109">
          <cell r="B109" t="str">
            <v>Antenna 1 PA Duty cycle</v>
          </cell>
        </row>
        <row r="110">
          <cell r="B110" t="str">
            <v>Antenna 2 PA Duty cycle</v>
          </cell>
        </row>
        <row r="112">
          <cell r="B112" t="str">
            <v>Tgt RCS (m^2):</v>
          </cell>
        </row>
        <row r="113">
          <cell r="B113" t="str">
            <v>SNR @ Range (m):</v>
          </cell>
        </row>
        <row r="114">
          <cell r="B114" t="str">
            <v>Tgt @ADCin (dBm) - Ref. Rx</v>
          </cell>
        </row>
        <row r="115">
          <cell r="B115" t="str">
            <v>Tgt @ADCin (dBm) - 1st Rx - no calib.</v>
          </cell>
        </row>
        <row r="116">
          <cell r="B116" t="str">
            <v>Tgt @ADCout (dBm) - 1st Rx</v>
          </cell>
        </row>
        <row r="117">
          <cell r="B117" t="str">
            <v>Tgt @ADCout (dBm)</v>
          </cell>
        </row>
        <row r="118">
          <cell r="B118" t="str">
            <v>SNR (dB)</v>
          </cell>
        </row>
        <row r="120">
          <cell r="B120" t="str">
            <v>Probability of Detection @ SNR (dB):</v>
          </cell>
        </row>
        <row r="121">
          <cell r="B121" t="str">
            <v>SWERLING (0, I, II, III, IV)</v>
          </cell>
        </row>
        <row r="122">
          <cell r="B122" t="str">
            <v>Probability of Detection</v>
          </cell>
        </row>
        <row r="123">
          <cell r="B123" t="str">
            <v>Pd for at least N of M detections (N,M)</v>
          </cell>
        </row>
        <row r="124">
          <cell r="B124" t="str">
            <v>Probability of Detection</v>
          </cell>
        </row>
        <row r="126">
          <cell r="B126" t="str">
            <v>Target Revisit Time (sec)</v>
          </cell>
        </row>
        <row r="127">
          <cell r="B127" t="str">
            <v>Acceleration Folding (m/s2)</v>
          </cell>
        </row>
        <row r="128">
          <cell r="B128" t="str">
            <v>Maximum Allowed Acceleration (m/s2)</v>
          </cell>
        </row>
        <row r="129">
          <cell r="B129" t="str">
            <v>Acceleration Ambiguity (m/s2)</v>
          </cell>
        </row>
        <row r="131">
          <cell r="B131" t="str">
            <v>Tgt RCS (m^2):</v>
          </cell>
        </row>
        <row r="132">
          <cell r="B132" t="str">
            <v>SNR @ Range (m):</v>
          </cell>
        </row>
        <row r="133">
          <cell r="B133" t="str">
            <v>Tgt @ADCin (dBm) - Ref. Rx</v>
          </cell>
        </row>
        <row r="134">
          <cell r="B134" t="str">
            <v>Interferer @ Range (m)</v>
          </cell>
        </row>
        <row r="135">
          <cell r="B135" t="str">
            <v>Interferer @ ADCin (dBm) - Ref. Rx</v>
          </cell>
        </row>
        <row r="136">
          <cell r="B136" t="str">
            <v>Interferer @ ADCin (dBm) - 1st Rx</v>
          </cell>
        </row>
        <row r="137">
          <cell r="B137" t="str">
            <v>Ref. Rx Phase Noise @ADCin (dBm/bin)</v>
          </cell>
        </row>
        <row r="138">
          <cell r="B138" t="str">
            <v>Ref. Rx Phase Noise @ADCout (dBm/bin)</v>
          </cell>
        </row>
        <row r="139">
          <cell r="B139" t="str">
            <v>Ref. Rx Total Noise @ADCout (dBm/bin)</v>
          </cell>
        </row>
        <row r="140">
          <cell r="B140" t="str">
            <v>1st Rx Phase Noise @ADCout (dBm/bin)</v>
          </cell>
        </row>
        <row r="141">
          <cell r="B141" t="str">
            <v>1st Rx Total Noise @ADCout (dBm/bin)</v>
          </cell>
        </row>
        <row r="142">
          <cell r="B142" t="str">
            <v>Total Noise Power @ADCout (dBm/bin)</v>
          </cell>
        </row>
        <row r="143">
          <cell r="B143" t="str">
            <v>SNR (dB)</v>
          </cell>
        </row>
        <row r="145">
          <cell r="B145" t="str">
            <v>GUI SPECTRUM PRESENTATION (w/o interferer)</v>
          </cell>
        </row>
        <row r="146">
          <cell r="B146" t="str">
            <v>Ref Rx Noise @ADCout (dBm/bin)</v>
          </cell>
        </row>
        <row r="147">
          <cell r="B147" t="str">
            <v>1st Rx Noise @ADCout (dBm/bin)</v>
          </cell>
        </row>
        <row r="148">
          <cell r="B148" t="str">
            <v>Beam Total Noise @ADCout (dBm/bin)</v>
          </cell>
        </row>
        <row r="150">
          <cell r="B150" t="str">
            <v>GUI SPECTRUM PRESENTATION (with interferer)</v>
          </cell>
        </row>
        <row r="151">
          <cell r="B151" t="str">
            <v>Ref Rx Noise @ADCout (dBm/bin)</v>
          </cell>
        </row>
        <row r="152">
          <cell r="B152" t="str">
            <v>1st Rx Noise @ADCout (dBm/bin)</v>
          </cell>
        </row>
        <row r="153">
          <cell r="B153" t="str">
            <v>Beam Total Noise @ADCout (dBm/bin)</v>
          </cell>
        </row>
      </sheetData>
      <sheetData sheetId="18"/>
      <sheetData sheetId="19">
        <row r="2">
          <cell r="D2" t="str">
            <v>MHR</v>
          </cell>
        </row>
        <row r="3">
          <cell r="D3">
            <v>5</v>
          </cell>
        </row>
        <row r="4">
          <cell r="D4">
            <v>15</v>
          </cell>
        </row>
      </sheetData>
      <sheetData sheetId="20"/>
      <sheetData sheetId="2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144"/>
  <sheetViews>
    <sheetView tabSelected="1" zoomScale="115" zoomScaleNormal="115" workbookViewId="0">
      <selection activeCell="H9" sqref="H9"/>
    </sheetView>
  </sheetViews>
  <sheetFormatPr defaultColWidth="5.125" defaultRowHeight="14.25" x14ac:dyDescent="0.2"/>
  <cols>
    <col min="1" max="1" width="33.125" style="6" customWidth="1"/>
    <col min="2" max="2" width="38.875" style="6" bestFit="1" customWidth="1"/>
    <col min="3" max="3" width="12.375" style="22" bestFit="1" customWidth="1"/>
    <col min="4" max="4" width="37.375" style="22" bestFit="1" customWidth="1"/>
    <col min="5" max="58" width="5.125" style="6"/>
    <col min="59" max="59" width="7.75" style="6" bestFit="1" customWidth="1"/>
    <col min="60" max="16384" width="5.125" style="6"/>
  </cols>
  <sheetData>
    <row r="1" spans="1:4" s="22" customFormat="1" ht="15" x14ac:dyDescent="0.2">
      <c r="A1" s="116" t="s">
        <v>67</v>
      </c>
      <c r="B1" s="116" t="s">
        <v>65</v>
      </c>
      <c r="C1" s="116" t="s">
        <v>64</v>
      </c>
      <c r="D1" s="116" t="s">
        <v>224</v>
      </c>
    </row>
    <row r="2" spans="1:4" s="22" customFormat="1" x14ac:dyDescent="0.2">
      <c r="A2" s="6" t="s">
        <v>357</v>
      </c>
      <c r="B2" s="32" t="s">
        <v>358</v>
      </c>
      <c r="C2" s="33">
        <v>1</v>
      </c>
      <c r="D2" s="22" t="s">
        <v>513</v>
      </c>
    </row>
    <row r="3" spans="1:4" s="22" customFormat="1" ht="15" x14ac:dyDescent="0.2">
      <c r="A3" s="6" t="s">
        <v>359</v>
      </c>
      <c r="B3" s="28" t="s">
        <v>360</v>
      </c>
      <c r="C3" s="29">
        <v>7.5</v>
      </c>
    </row>
    <row r="4" spans="1:4" s="22" customFormat="1" ht="15" x14ac:dyDescent="0.2">
      <c r="A4" s="6" t="s">
        <v>355</v>
      </c>
      <c r="B4" s="28" t="s">
        <v>356</v>
      </c>
      <c r="C4" s="29">
        <v>1</v>
      </c>
    </row>
    <row r="5" spans="1:4" s="22" customFormat="1" ht="15" x14ac:dyDescent="0.2">
      <c r="A5" s="6" t="s">
        <v>365</v>
      </c>
      <c r="B5" s="28" t="s">
        <v>366</v>
      </c>
      <c r="C5" s="29">
        <v>0.32</v>
      </c>
    </row>
    <row r="6" spans="1:4" s="22" customFormat="1" ht="15" x14ac:dyDescent="0.2">
      <c r="A6" s="6" t="s">
        <v>361</v>
      </c>
      <c r="B6" s="28" t="s">
        <v>362</v>
      </c>
      <c r="C6" s="29">
        <v>200</v>
      </c>
    </row>
    <row r="7" spans="1:4" x14ac:dyDescent="0.2">
      <c r="B7" s="30" t="s">
        <v>332</v>
      </c>
      <c r="C7" s="31">
        <v>1</v>
      </c>
    </row>
    <row r="8" spans="1:4" x14ac:dyDescent="0.2">
      <c r="A8" s="6" t="s">
        <v>405</v>
      </c>
      <c r="B8" s="30" t="s">
        <v>406</v>
      </c>
      <c r="C8" s="31">
        <v>0</v>
      </c>
    </row>
    <row r="9" spans="1:4" x14ac:dyDescent="0.2">
      <c r="A9" s="6" t="s">
        <v>474</v>
      </c>
      <c r="B9" s="32" t="s">
        <v>376</v>
      </c>
      <c r="C9" s="33">
        <v>5</v>
      </c>
    </row>
    <row r="10" spans="1:4" x14ac:dyDescent="0.2">
      <c r="B10" s="32" t="s">
        <v>424</v>
      </c>
      <c r="C10" s="33">
        <f>IF(C$9=4,10.5,IF(C$9=5,10,0))</f>
        <v>10</v>
      </c>
    </row>
    <row r="11" spans="1:4" x14ac:dyDescent="0.2">
      <c r="B11" s="32" t="s">
        <v>432</v>
      </c>
      <c r="C11" s="33">
        <v>1</v>
      </c>
    </row>
    <row r="12" spans="1:4" x14ac:dyDescent="0.2">
      <c r="A12" s="6" t="s">
        <v>429</v>
      </c>
      <c r="B12" s="32" t="s">
        <v>425</v>
      </c>
      <c r="C12" s="33">
        <f>'AGC Set Table'!L3</f>
        <v>59.76</v>
      </c>
    </row>
    <row r="13" spans="1:4" x14ac:dyDescent="0.2">
      <c r="A13" s="6" t="s">
        <v>475</v>
      </c>
      <c r="B13" s="32" t="s">
        <v>481</v>
      </c>
      <c r="C13" s="33">
        <f>'AGC Set Table'!N3</f>
        <v>54.1</v>
      </c>
      <c r="D13" s="22" t="s">
        <v>417</v>
      </c>
    </row>
    <row r="14" spans="1:4" x14ac:dyDescent="0.2">
      <c r="A14" s="6" t="s">
        <v>433</v>
      </c>
      <c r="B14" s="32" t="s">
        <v>434</v>
      </c>
      <c r="C14" s="33">
        <f>20*LOG10(C$10/C$11) - (10*LOG10(C$10/C$11)+C$12-C$13)</f>
        <v>4.3400000000000105</v>
      </c>
    </row>
    <row r="15" spans="1:4" x14ac:dyDescent="0.2">
      <c r="B15" s="32" t="s">
        <v>514</v>
      </c>
      <c r="C15" s="33">
        <v>0.15</v>
      </c>
    </row>
    <row r="16" spans="1:4" x14ac:dyDescent="0.2">
      <c r="B16" s="32" t="s">
        <v>18</v>
      </c>
      <c r="C16" s="33">
        <f>2.99792458 * 10^8</f>
        <v>299792458</v>
      </c>
    </row>
    <row r="17" spans="1:4" x14ac:dyDescent="0.2">
      <c r="B17" s="32" t="s">
        <v>12</v>
      </c>
      <c r="C17" s="33">
        <f>C$16*10^-6/2</f>
        <v>149.89622900000001</v>
      </c>
    </row>
    <row r="18" spans="1:4" x14ac:dyDescent="0.2">
      <c r="A18" s="6" t="s">
        <v>263</v>
      </c>
      <c r="B18" s="30" t="s">
        <v>19</v>
      </c>
      <c r="C18" s="31">
        <v>3.5</v>
      </c>
    </row>
    <row r="19" spans="1:4" x14ac:dyDescent="0.2">
      <c r="A19" s="6" t="s">
        <v>269</v>
      </c>
      <c r="B19" s="30" t="s">
        <v>270</v>
      </c>
      <c r="C19" s="31">
        <v>-125</v>
      </c>
      <c r="D19" s="22" t="s">
        <v>477</v>
      </c>
    </row>
    <row r="20" spans="1:4" x14ac:dyDescent="0.2">
      <c r="A20" s="6" t="s">
        <v>271</v>
      </c>
      <c r="B20" s="30" t="s">
        <v>272</v>
      </c>
      <c r="C20" s="31">
        <v>0</v>
      </c>
    </row>
    <row r="21" spans="1:4" x14ac:dyDescent="0.2">
      <c r="B21" s="34" t="s">
        <v>156</v>
      </c>
      <c r="C21" s="35">
        <f>C$16/(C$18*10^9)</f>
        <v>8.5654988000000001E-2</v>
      </c>
    </row>
    <row r="22" spans="1:4" x14ac:dyDescent="0.2">
      <c r="B22" s="34" t="s">
        <v>166</v>
      </c>
      <c r="C22" s="35">
        <f>2/C$21</f>
        <v>23.349486663870643</v>
      </c>
    </row>
    <row r="23" spans="1:4" x14ac:dyDescent="0.2">
      <c r="B23" s="36" t="s">
        <v>175</v>
      </c>
      <c r="C23" s="31">
        <v>0</v>
      </c>
    </row>
    <row r="24" spans="1:4" x14ac:dyDescent="0.2">
      <c r="B24" s="36" t="s">
        <v>435</v>
      </c>
      <c r="C24" s="31">
        <v>60</v>
      </c>
    </row>
    <row r="25" spans="1:4" x14ac:dyDescent="0.2">
      <c r="B25" s="36" t="s">
        <v>436</v>
      </c>
      <c r="C25" s="31">
        <v>54</v>
      </c>
    </row>
    <row r="26" spans="1:4" x14ac:dyDescent="0.2">
      <c r="B26" s="34" t="s">
        <v>441</v>
      </c>
      <c r="C26" s="35">
        <f>20*LOG10(C$10/C$11) - (10*LOG10(C$10/C$11)+C$24-C$25)</f>
        <v>4</v>
      </c>
    </row>
    <row r="27" spans="1:4" x14ac:dyDescent="0.2">
      <c r="B27" s="32" t="s">
        <v>15</v>
      </c>
      <c r="C27" s="33">
        <f>-174</f>
        <v>-174</v>
      </c>
    </row>
    <row r="28" spans="1:4" x14ac:dyDescent="0.2">
      <c r="B28" s="32" t="s">
        <v>426</v>
      </c>
      <c r="C28" s="33">
        <v>1.2500000000000001E-2</v>
      </c>
    </row>
    <row r="29" spans="1:4" x14ac:dyDescent="0.2">
      <c r="B29" s="37" t="s">
        <v>179</v>
      </c>
      <c r="C29" s="35">
        <f>1/C$28/2</f>
        <v>40</v>
      </c>
    </row>
    <row r="30" spans="1:4" x14ac:dyDescent="0.2">
      <c r="A30" s="6" t="s">
        <v>493</v>
      </c>
      <c r="B30" s="32" t="s">
        <v>230</v>
      </c>
      <c r="C30" s="33">
        <v>-65</v>
      </c>
    </row>
    <row r="31" spans="1:4" x14ac:dyDescent="0.2">
      <c r="A31" s="6" t="s">
        <v>430</v>
      </c>
      <c r="B31" s="32" t="s">
        <v>427</v>
      </c>
      <c r="C31" s="33">
        <v>3.51</v>
      </c>
    </row>
    <row r="32" spans="1:4" x14ac:dyDescent="0.2">
      <c r="A32" s="6" t="s">
        <v>431</v>
      </c>
      <c r="B32" s="32" t="s">
        <v>428</v>
      </c>
      <c r="C32" s="33">
        <v>3.1337000000000002</v>
      </c>
    </row>
    <row r="33" spans="1:4" x14ac:dyDescent="0.2">
      <c r="A33" s="6" t="s">
        <v>437</v>
      </c>
      <c r="B33" s="32" t="s">
        <v>438</v>
      </c>
      <c r="C33" s="33">
        <v>0</v>
      </c>
    </row>
    <row r="34" spans="1:4" x14ac:dyDescent="0.2">
      <c r="A34" s="6" t="s">
        <v>439</v>
      </c>
      <c r="B34" s="32" t="s">
        <v>440</v>
      </c>
      <c r="C34" s="33">
        <v>0</v>
      </c>
    </row>
    <row r="35" spans="1:4" x14ac:dyDescent="0.2">
      <c r="B35" s="37" t="s">
        <v>414</v>
      </c>
      <c r="C35" s="35">
        <f>C31-C32</f>
        <v>0.37629999999999963</v>
      </c>
      <c r="D35" s="22" t="s">
        <v>407</v>
      </c>
    </row>
    <row r="36" spans="1:4" x14ac:dyDescent="0.2">
      <c r="A36" s="6" t="s">
        <v>265</v>
      </c>
      <c r="B36" s="30" t="s">
        <v>172</v>
      </c>
      <c r="C36" s="31">
        <v>41</v>
      </c>
    </row>
    <row r="37" spans="1:4" x14ac:dyDescent="0.2">
      <c r="A37" s="6" t="s">
        <v>264</v>
      </c>
      <c r="B37" s="30" t="s">
        <v>173</v>
      </c>
      <c r="C37" s="31">
        <v>10</v>
      </c>
    </row>
    <row r="38" spans="1:4" x14ac:dyDescent="0.2">
      <c r="A38" s="6" t="s">
        <v>266</v>
      </c>
      <c r="B38" s="30" t="s">
        <v>174</v>
      </c>
      <c r="C38" s="31">
        <v>5</v>
      </c>
    </row>
    <row r="39" spans="1:4" x14ac:dyDescent="0.2">
      <c r="B39" s="37" t="s">
        <v>252</v>
      </c>
      <c r="C39" s="35">
        <f>10*LOG10(C$37*C$36) + 30 - C$23</f>
        <v>56.127838567197358</v>
      </c>
    </row>
    <row r="40" spans="1:4" x14ac:dyDescent="0.2">
      <c r="B40" s="37" t="s">
        <v>373</v>
      </c>
      <c r="C40" s="35">
        <f>10*LOG10(C$36)+C$38</f>
        <v>21.127838567197355</v>
      </c>
    </row>
    <row r="41" spans="1:4" x14ac:dyDescent="0.2">
      <c r="B41" s="37" t="s">
        <v>442</v>
      </c>
      <c r="C41" s="35">
        <f>10*LOG10(C$10)+C$38</f>
        <v>15</v>
      </c>
    </row>
    <row r="42" spans="1:4" x14ac:dyDescent="0.2">
      <c r="B42" s="37" t="s">
        <v>443</v>
      </c>
      <c r="C42" s="35">
        <f>10*LOG10(C$11)+C$38</f>
        <v>5</v>
      </c>
    </row>
    <row r="43" spans="1:4" x14ac:dyDescent="0.2">
      <c r="B43" s="37" t="s">
        <v>16</v>
      </c>
      <c r="C43" s="35">
        <f>20*LOG10(C$21)</f>
        <v>-21.344946828446961</v>
      </c>
    </row>
    <row r="44" spans="1:4" x14ac:dyDescent="0.2">
      <c r="B44" s="34" t="s">
        <v>13</v>
      </c>
      <c r="C44" s="35">
        <f>10*LOG10((4*PI())^3)</f>
        <v>32.976295920662885</v>
      </c>
    </row>
    <row r="45" spans="1:4" x14ac:dyDescent="0.2">
      <c r="B45" s="34" t="s">
        <v>445</v>
      </c>
      <c r="C45" s="35">
        <v>0</v>
      </c>
    </row>
    <row r="46" spans="1:4" x14ac:dyDescent="0.2">
      <c r="A46" s="6" t="s">
        <v>363</v>
      </c>
      <c r="B46" s="36" t="s">
        <v>444</v>
      </c>
      <c r="C46" s="31" t="s">
        <v>364</v>
      </c>
      <c r="D46" s="22" t="s">
        <v>476</v>
      </c>
    </row>
    <row r="47" spans="1:4" x14ac:dyDescent="0.2">
      <c r="B47" s="34" t="s">
        <v>446</v>
      </c>
      <c r="C47" s="35">
        <f>IF(EXACT($C$46,"BH"),$C$67,0)</f>
        <v>8.9499999999999993</v>
      </c>
    </row>
    <row r="48" spans="1:4" x14ac:dyDescent="0.2">
      <c r="B48" s="34" t="s">
        <v>447</v>
      </c>
      <c r="C48" s="35">
        <f>IF(EXACT($C$46,"BH"),$C$68,0)</f>
        <v>5.9</v>
      </c>
    </row>
    <row r="49" spans="1:4" ht="25.5" x14ac:dyDescent="0.2">
      <c r="A49" s="38"/>
      <c r="B49" s="34" t="s">
        <v>253</v>
      </c>
      <c r="C49" s="35">
        <f>IF(EXACT($C$46,"BH"),$C$69,0)</f>
        <v>3.0499999999999989</v>
      </c>
      <c r="D49" s="121" t="s">
        <v>186</v>
      </c>
    </row>
    <row r="50" spans="1:4" x14ac:dyDescent="0.2">
      <c r="A50" s="38"/>
      <c r="B50" s="34" t="s">
        <v>254</v>
      </c>
      <c r="C50" s="35">
        <f>IF(EXACT($C$46,"BH"),$C$70,0)</f>
        <v>1.9</v>
      </c>
      <c r="D50" s="122"/>
    </row>
    <row r="51" spans="1:4" x14ac:dyDescent="0.2">
      <c r="B51" s="34" t="s">
        <v>187</v>
      </c>
      <c r="C51" s="35">
        <f>IF(EXACT($C$46,"BH"),$C$71,0)</f>
        <v>2.72</v>
      </c>
    </row>
    <row r="52" spans="1:4" x14ac:dyDescent="0.2">
      <c r="B52" s="34" t="s">
        <v>255</v>
      </c>
      <c r="C52" s="35">
        <f>IF(EXACT($C$46,"BH"),$C$73,0)/2</f>
        <v>0.41278500000000001</v>
      </c>
    </row>
    <row r="53" spans="1:4" x14ac:dyDescent="0.2">
      <c r="B53" s="32" t="s">
        <v>193</v>
      </c>
      <c r="C53" s="33">
        <v>1.21</v>
      </c>
    </row>
    <row r="54" spans="1:4" x14ac:dyDescent="0.2">
      <c r="B54" s="34" t="s">
        <v>194</v>
      </c>
      <c r="C54" s="35">
        <f>IF(EXACT( $C$46, "BH"), $C$72, 0)-2</f>
        <v>9</v>
      </c>
    </row>
    <row r="55" spans="1:4" x14ac:dyDescent="0.2">
      <c r="B55" s="36" t="s">
        <v>195</v>
      </c>
      <c r="C55" s="31">
        <v>12</v>
      </c>
    </row>
    <row r="56" spans="1:4" x14ac:dyDescent="0.2">
      <c r="B56" s="34" t="s">
        <v>302</v>
      </c>
      <c r="C56" s="35">
        <f>6 / 2</f>
        <v>3</v>
      </c>
    </row>
    <row r="57" spans="1:4" x14ac:dyDescent="0.2">
      <c r="B57" s="34" t="s">
        <v>303</v>
      </c>
      <c r="C57" s="35">
        <f>2.5 / 2</f>
        <v>1.25</v>
      </c>
    </row>
    <row r="58" spans="1:4" x14ac:dyDescent="0.2">
      <c r="B58" s="30" t="s">
        <v>494</v>
      </c>
      <c r="C58" s="31">
        <v>5</v>
      </c>
    </row>
    <row r="59" spans="1:4" x14ac:dyDescent="0.2">
      <c r="B59" s="34" t="s">
        <v>495</v>
      </c>
      <c r="C59" s="35">
        <f>C58*C18</f>
        <v>17.5</v>
      </c>
    </row>
    <row r="60" spans="1:4" x14ac:dyDescent="0.2">
      <c r="B60" s="34" t="s">
        <v>496</v>
      </c>
      <c r="C60" s="35">
        <f>IF(C7+C8,C59/C22, 0)</f>
        <v>0.74948114500000007</v>
      </c>
    </row>
    <row r="61" spans="1:4" x14ac:dyDescent="0.2">
      <c r="B61" s="30" t="s">
        <v>497</v>
      </c>
      <c r="C61" s="31">
        <v>0.2</v>
      </c>
    </row>
    <row r="62" spans="1:4" x14ac:dyDescent="0.2">
      <c r="A62" s="6" t="s">
        <v>325</v>
      </c>
      <c r="B62" s="30" t="s">
        <v>318</v>
      </c>
      <c r="C62" s="31">
        <f>8*C28*C7</f>
        <v>0.1</v>
      </c>
    </row>
    <row r="63" spans="1:4" x14ac:dyDescent="0.2">
      <c r="B63" s="32" t="s">
        <v>488</v>
      </c>
      <c r="C63" s="33">
        <v>7</v>
      </c>
    </row>
    <row r="64" spans="1:4" x14ac:dyDescent="0.2">
      <c r="A64" s="6" t="s">
        <v>489</v>
      </c>
      <c r="B64" s="30" t="s">
        <v>498</v>
      </c>
      <c r="C64" s="31">
        <f>2*C63+1</f>
        <v>15</v>
      </c>
    </row>
    <row r="66" spans="2:4" ht="15.75" x14ac:dyDescent="0.2">
      <c r="B66" s="138" t="s">
        <v>392</v>
      </c>
      <c r="C66" s="138"/>
    </row>
    <row r="67" spans="2:4" x14ac:dyDescent="0.2">
      <c r="B67" s="32" t="s">
        <v>446</v>
      </c>
      <c r="C67" s="33">
        <v>8.9499999999999993</v>
      </c>
      <c r="D67" s="22" t="s">
        <v>448</v>
      </c>
    </row>
    <row r="68" spans="2:4" x14ac:dyDescent="0.2">
      <c r="B68" s="32" t="s">
        <v>447</v>
      </c>
      <c r="C68" s="33">
        <v>5.9</v>
      </c>
      <c r="D68" s="22" t="s">
        <v>449</v>
      </c>
    </row>
    <row r="69" spans="2:4" x14ac:dyDescent="0.2">
      <c r="B69" s="32" t="s">
        <v>387</v>
      </c>
      <c r="C69" s="33">
        <f>C67-C68</f>
        <v>3.0499999999999989</v>
      </c>
      <c r="D69" s="22" t="s">
        <v>482</v>
      </c>
    </row>
    <row r="70" spans="2:4" x14ac:dyDescent="0.2">
      <c r="B70" s="32" t="s">
        <v>388</v>
      </c>
      <c r="C70" s="33">
        <v>1.9</v>
      </c>
    </row>
    <row r="71" spans="2:4" x14ac:dyDescent="0.2">
      <c r="B71" s="32" t="s">
        <v>389</v>
      </c>
      <c r="C71" s="33">
        <v>2.72</v>
      </c>
    </row>
    <row r="72" spans="2:4" x14ac:dyDescent="0.2">
      <c r="B72" s="32" t="s">
        <v>390</v>
      </c>
      <c r="C72" s="33">
        <v>11</v>
      </c>
    </row>
    <row r="73" spans="2:4" x14ac:dyDescent="0.2">
      <c r="B73" s="32" t="s">
        <v>391</v>
      </c>
      <c r="C73" s="33">
        <v>0.82557000000000003</v>
      </c>
    </row>
    <row r="74" spans="2:4" x14ac:dyDescent="0.2">
      <c r="B74" s="32" t="s">
        <v>393</v>
      </c>
      <c r="C74" s="33">
        <v>160</v>
      </c>
    </row>
    <row r="76" spans="2:4" ht="16.5" thickBot="1" x14ac:dyDescent="0.25">
      <c r="B76" s="137" t="s">
        <v>383</v>
      </c>
      <c r="C76" s="137"/>
    </row>
    <row r="77" spans="2:4" ht="15" thickTop="1" x14ac:dyDescent="0.2">
      <c r="B77" s="30" t="s">
        <v>260</v>
      </c>
      <c r="C77" s="31">
        <v>12</v>
      </c>
    </row>
    <row r="78" spans="2:4" x14ac:dyDescent="0.2">
      <c r="B78" s="30" t="s">
        <v>381</v>
      </c>
      <c r="C78" s="31">
        <v>70</v>
      </c>
    </row>
    <row r="79" spans="2:4" x14ac:dyDescent="0.2">
      <c r="B79" s="30" t="s">
        <v>380</v>
      </c>
      <c r="C79" s="31">
        <v>0</v>
      </c>
    </row>
    <row r="80" spans="2:4" x14ac:dyDescent="0.2">
      <c r="B80" s="30" t="s">
        <v>384</v>
      </c>
      <c r="C80" s="31">
        <v>44</v>
      </c>
    </row>
    <row r="81" spans="2:4" x14ac:dyDescent="0.2">
      <c r="B81" s="30" t="s">
        <v>382</v>
      </c>
      <c r="C81" s="31">
        <v>1</v>
      </c>
    </row>
    <row r="82" spans="2:4" x14ac:dyDescent="0.2">
      <c r="B82" s="34" t="s">
        <v>259</v>
      </c>
      <c r="C82" s="35">
        <f>pf_PD_PFA_CFAR("pfa", C77, C78, C79,C80, C81)</f>
        <v>1.3226227109188841E-6</v>
      </c>
    </row>
    <row r="83" spans="2:4" x14ac:dyDescent="0.2">
      <c r="B83" s="34" t="s">
        <v>262</v>
      </c>
      <c r="C83" s="35">
        <f>pf_PD_PFA_CFAR("pd", C77, C78, C79, C80, C81)</f>
        <v>1.0000000000000016</v>
      </c>
    </row>
    <row r="84" spans="2:4" x14ac:dyDescent="0.2">
      <c r="B84" s="30" t="s">
        <v>385</v>
      </c>
      <c r="C84" s="31" t="s">
        <v>394</v>
      </c>
    </row>
    <row r="85" spans="2:4" x14ac:dyDescent="0.2">
      <c r="B85" s="34" t="s">
        <v>262</v>
      </c>
      <c r="C85" s="35">
        <f>pf_PD_N_OUTOF_M(C$83, LEFT(C$84,FIND(",",C$84,1) - 1), MID(C$84,FIND(",",C$84,1)+1,100))</f>
        <v>1</v>
      </c>
    </row>
    <row r="87" spans="2:4" ht="16.5" thickBot="1" x14ac:dyDescent="0.25">
      <c r="B87" s="137" t="s">
        <v>395</v>
      </c>
      <c r="C87" s="137"/>
    </row>
    <row r="88" spans="2:4" ht="15" thickTop="1" x14ac:dyDescent="0.2">
      <c r="B88" s="30" t="s">
        <v>381</v>
      </c>
      <c r="C88" s="31">
        <v>25</v>
      </c>
    </row>
    <row r="89" spans="2:4" x14ac:dyDescent="0.2">
      <c r="B89" s="30" t="s">
        <v>396</v>
      </c>
      <c r="C89" s="31">
        <v>75</v>
      </c>
    </row>
    <row r="90" spans="2:4" x14ac:dyDescent="0.2">
      <c r="B90" s="30" t="s">
        <v>397</v>
      </c>
      <c r="C90" s="31">
        <v>50</v>
      </c>
    </row>
    <row r="91" spans="2:4" x14ac:dyDescent="0.2">
      <c r="B91" s="30" t="s">
        <v>398</v>
      </c>
      <c r="C91" s="31">
        <v>30</v>
      </c>
    </row>
    <row r="92" spans="2:4" x14ac:dyDescent="0.2">
      <c r="B92" s="87" t="s">
        <v>404</v>
      </c>
      <c r="C92" s="33">
        <v>0.13320000000000001</v>
      </c>
      <c r="D92" s="22" t="s">
        <v>483</v>
      </c>
    </row>
    <row r="93" spans="2:4" x14ac:dyDescent="0.2">
      <c r="B93" s="30" t="s">
        <v>402</v>
      </c>
      <c r="C93" s="31">
        <v>64</v>
      </c>
    </row>
    <row r="94" spans="2:4" x14ac:dyDescent="0.2">
      <c r="B94" s="34" t="s">
        <v>399</v>
      </c>
      <c r="C94" s="35">
        <f>C$89/2*SQRT(1/(2*10 ^ (C$88 / 10))+1/50^2)</f>
        <v>1.6691244650432422</v>
      </c>
    </row>
    <row r="95" spans="2:4" x14ac:dyDescent="0.2">
      <c r="B95" s="34" t="s">
        <v>400</v>
      </c>
      <c r="C95" s="35">
        <f>C$21/(2*C$90/1000)*SQRT(1 / (2*10^(C$88/10))+1/(2*IF(EXACT($C$46,"CHEB"),#REF!,IF(EXACT($C$46,"BH"),C$74,0)))^2)</f>
        <v>3.4164471555091919E-2</v>
      </c>
    </row>
    <row r="96" spans="2:4" x14ac:dyDescent="0.2">
      <c r="B96" s="34" t="s">
        <v>401</v>
      </c>
      <c r="C96" s="35">
        <f>1000/(2*PI()*(C$92/C$21)*COS(C$91/180*PI())) * SQRT(1 / (10^(C$88/10)/2) + (0.24/(C$93*2))^2)</f>
        <v>9.4009902752334291</v>
      </c>
    </row>
    <row r="97" spans="2:3" ht="16.5" thickBot="1" x14ac:dyDescent="0.25">
      <c r="B97" s="137" t="s">
        <v>403</v>
      </c>
      <c r="C97" s="137"/>
    </row>
    <row r="98" spans="2:3" ht="15" thickTop="1" x14ac:dyDescent="0.2">
      <c r="B98" s="34" t="s">
        <v>399</v>
      </c>
      <c r="C98" s="35">
        <f>C$89/2*SQRT(1/50^2)</f>
        <v>0.75</v>
      </c>
    </row>
    <row r="99" spans="2:3" x14ac:dyDescent="0.2">
      <c r="B99" s="34" t="s">
        <v>400</v>
      </c>
      <c r="C99" s="35">
        <f>C$21/(2*C$90/1000)*SQRT(1/(2*IF(EXACT($C$46,"CHEB"),#REF!,IF(EXACT($C$46,"BH"),C$74,0)))^2)</f>
        <v>2.676718375E-3</v>
      </c>
    </row>
    <row r="100" spans="2:3" x14ac:dyDescent="0.2">
      <c r="B100" s="34" t="s">
        <v>401</v>
      </c>
      <c r="C100" s="35">
        <f>1000/(2*PI()*(C$92/C$21)*COS(C$91/180*PI())) * SQRT((0.24/(C$93*2))^2)</f>
        <v>0.22158441216876335</v>
      </c>
    </row>
    <row r="102" spans="2:3" ht="16.5" thickBot="1" x14ac:dyDescent="0.25">
      <c r="B102" s="137" t="s">
        <v>517</v>
      </c>
      <c r="C102" s="137"/>
    </row>
    <row r="103" spans="2:3" ht="15" thickTop="1" x14ac:dyDescent="0.2">
      <c r="B103" s="30" t="s">
        <v>181</v>
      </c>
      <c r="C103" s="31">
        <v>500</v>
      </c>
    </row>
    <row r="104" spans="2:3" x14ac:dyDescent="0.2">
      <c r="B104" s="34" t="s">
        <v>518</v>
      </c>
      <c r="C104" s="35">
        <f>$C$39+$C$40+$C$43-20*LOG10(4*PI()*$C$103)+$C$38</f>
        <v>-15.052867061214542</v>
      </c>
    </row>
    <row r="106" spans="2:3" ht="16.5" thickBot="1" x14ac:dyDescent="0.25">
      <c r="B106" s="137" t="s">
        <v>304</v>
      </c>
      <c r="C106" s="137"/>
    </row>
    <row r="107" spans="2:3" ht="15" thickTop="1" x14ac:dyDescent="0.2">
      <c r="B107" s="30" t="s">
        <v>17</v>
      </c>
      <c r="C107" s="31">
        <v>5.0000000000000001E-3</v>
      </c>
    </row>
    <row r="108" spans="2:3" x14ac:dyDescent="0.2">
      <c r="B108" s="30" t="s">
        <v>181</v>
      </c>
      <c r="C108" s="31">
        <v>1000</v>
      </c>
    </row>
    <row r="109" spans="2:3" x14ac:dyDescent="0.2">
      <c r="B109" s="34" t="s">
        <v>180</v>
      </c>
      <c r="C109" s="35">
        <f>$C$39+$C$40+$C$43-$C$44+10*LOG10($C$107)-40*LOG10($C$108)</f>
        <v>-120.07586557135494</v>
      </c>
    </row>
    <row r="111" spans="2:3" x14ac:dyDescent="0.2">
      <c r="B111" s="30" t="s">
        <v>180</v>
      </c>
      <c r="C111" s="31">
        <v>-180</v>
      </c>
    </row>
    <row r="112" spans="2:3" x14ac:dyDescent="0.2">
      <c r="B112" s="30" t="s">
        <v>181</v>
      </c>
      <c r="C112" s="31">
        <v>1000</v>
      </c>
    </row>
    <row r="113" spans="2:3" x14ac:dyDescent="0.2">
      <c r="B113" s="34" t="s">
        <v>17</v>
      </c>
      <c r="C113" s="35">
        <f>10^(($C$111-$C$39-$C$40-$C$43+$C$44+40*LOG10($C$112))/10)</f>
        <v>5.0881108166440233E-9</v>
      </c>
    </row>
    <row r="115" spans="2:3" ht="16.5" thickBot="1" x14ac:dyDescent="0.25">
      <c r="B115" s="137" t="s">
        <v>370</v>
      </c>
      <c r="C115" s="137"/>
    </row>
    <row r="116" spans="2:3" ht="15" thickTop="1" x14ac:dyDescent="0.2">
      <c r="B116" s="30" t="s">
        <v>17</v>
      </c>
      <c r="C116" s="31">
        <v>5.0000000000000001E-3</v>
      </c>
    </row>
    <row r="117" spans="2:3" x14ac:dyDescent="0.2">
      <c r="B117" s="30" t="s">
        <v>181</v>
      </c>
      <c r="C117" s="31">
        <v>1000</v>
      </c>
    </row>
    <row r="118" spans="2:3" x14ac:dyDescent="0.2">
      <c r="B118" s="34" t="s">
        <v>371</v>
      </c>
      <c r="C118" s="35">
        <f>$C$39+$C$40+$C$43-$C$44+10*LOG10($C$116)-40*LOG10($C$117)+$C$12+$C$40</f>
        <v>-39.18802700415759</v>
      </c>
    </row>
    <row r="120" spans="2:3" x14ac:dyDescent="0.2">
      <c r="B120" s="30" t="s">
        <v>372</v>
      </c>
      <c r="C120" s="31">
        <v>-39.4</v>
      </c>
    </row>
    <row r="121" spans="2:3" x14ac:dyDescent="0.2">
      <c r="B121" s="30" t="s">
        <v>181</v>
      </c>
      <c r="C121" s="31">
        <v>1000</v>
      </c>
    </row>
    <row r="122" spans="2:3" x14ac:dyDescent="0.2">
      <c r="B122" s="34" t="s">
        <v>17</v>
      </c>
      <c r="C122" s="35">
        <f>10^(($C$120-$C$12-$C$40-$C$39-$C$40-$C$43+$C$44+40*LOG10($C$121))/10)</f>
        <v>4.7618170395462315E-3</v>
      </c>
    </row>
    <row r="124" spans="2:3" ht="16.5" thickBot="1" x14ac:dyDescent="0.25">
      <c r="B124" s="137" t="s">
        <v>182</v>
      </c>
      <c r="C124" s="137"/>
    </row>
    <row r="125" spans="2:3" ht="15" thickTop="1" x14ac:dyDescent="0.2">
      <c r="B125" s="30" t="s">
        <v>164</v>
      </c>
      <c r="C125" s="31">
        <f>1/2^14</f>
        <v>6.103515625E-5</v>
      </c>
    </row>
    <row r="126" spans="2:3" x14ac:dyDescent="0.2">
      <c r="B126" s="34" t="s">
        <v>165</v>
      </c>
      <c r="C126" s="35">
        <f>10*LOG10((C125/SQRT(2))^2/50)+30</f>
        <v>-74.288398785914737</v>
      </c>
    </row>
    <row r="128" spans="2:3" x14ac:dyDescent="0.2">
      <c r="B128" s="30" t="s">
        <v>165</v>
      </c>
      <c r="C128" s="31">
        <v>10</v>
      </c>
    </row>
    <row r="129" spans="2:23" x14ac:dyDescent="0.2">
      <c r="B129" s="34" t="s">
        <v>164</v>
      </c>
      <c r="C129" s="35">
        <f>SQRT(10^((C128-30)/10)*50)*SQRT(2)</f>
        <v>1.0000000000000002</v>
      </c>
    </row>
    <row r="131" spans="2:23" ht="16.5" thickBot="1" x14ac:dyDescent="0.25">
      <c r="B131" s="137" t="s">
        <v>188</v>
      </c>
      <c r="C131" s="137"/>
    </row>
    <row r="132" spans="2:23" ht="15" thickTop="1" x14ac:dyDescent="0.2">
      <c r="B132" s="30" t="s">
        <v>189</v>
      </c>
      <c r="C132" s="31">
        <v>1000</v>
      </c>
    </row>
    <row r="133" spans="2:23" x14ac:dyDescent="0.2">
      <c r="B133" s="34" t="s">
        <v>95</v>
      </c>
      <c r="C133" s="35">
        <f>C132 * 0.05625</f>
        <v>56.25</v>
      </c>
    </row>
    <row r="135" spans="2:23" x14ac:dyDescent="0.2">
      <c r="B135" s="30" t="s">
        <v>95</v>
      </c>
      <c r="C135" s="31">
        <v>56.25</v>
      </c>
    </row>
    <row r="136" spans="2:23" x14ac:dyDescent="0.2">
      <c r="B136" s="34" t="s">
        <v>189</v>
      </c>
      <c r="C136" s="35">
        <f>C135 / 0.05625</f>
        <v>1000</v>
      </c>
    </row>
    <row r="138" spans="2:23" ht="16.5" thickBot="1" x14ac:dyDescent="0.25">
      <c r="B138" s="137" t="s">
        <v>348</v>
      </c>
      <c r="C138" s="137"/>
    </row>
    <row r="139" spans="2:23" ht="15" thickTop="1" x14ac:dyDescent="0.2">
      <c r="B139" s="30" t="s">
        <v>349</v>
      </c>
      <c r="C139" s="31">
        <v>32.514328999999996</v>
      </c>
      <c r="S139" s="10"/>
      <c r="T139" s="10"/>
      <c r="U139" s="10"/>
      <c r="V139" s="10"/>
      <c r="W139" s="10"/>
    </row>
    <row r="140" spans="2:23" x14ac:dyDescent="0.2">
      <c r="B140" s="30" t="s">
        <v>350</v>
      </c>
      <c r="C140" s="31">
        <v>35.498615999999998</v>
      </c>
      <c r="S140" s="10"/>
      <c r="T140" s="10"/>
      <c r="U140" s="106"/>
      <c r="V140" s="10"/>
      <c r="W140" s="10"/>
    </row>
    <row r="141" spans="2:23" x14ac:dyDescent="0.2">
      <c r="B141" s="30" t="s">
        <v>351</v>
      </c>
      <c r="C141" s="31">
        <v>32.276141000000003</v>
      </c>
      <c r="S141" s="10"/>
      <c r="T141" s="10"/>
      <c r="U141" s="10"/>
      <c r="V141" s="10"/>
      <c r="W141" s="10"/>
    </row>
    <row r="142" spans="2:23" x14ac:dyDescent="0.2">
      <c r="B142" s="30" t="s">
        <v>352</v>
      </c>
      <c r="C142" s="31">
        <v>34.859662</v>
      </c>
      <c r="S142" s="10"/>
      <c r="T142" s="10"/>
      <c r="U142" s="10"/>
      <c r="V142" s="10"/>
      <c r="W142" s="10"/>
    </row>
    <row r="143" spans="2:23" x14ac:dyDescent="0.2">
      <c r="B143" s="34" t="s">
        <v>353</v>
      </c>
      <c r="C143" s="39">
        <f>1000*ACOS(SIN(RADIANS(C$139))*SIN(RADIANS(C141))+COS(RADIANS(C$139))*COS(RADIANS(C141))*COS(RADIANS(C$140-C142)))*6371</f>
        <v>65577.518631422747</v>
      </c>
    </row>
    <row r="144" spans="2:23" x14ac:dyDescent="0.2">
      <c r="B144" s="34" t="s">
        <v>354</v>
      </c>
      <c r="C144" s="35">
        <f>180/PI()*ATAN2(COS(RADIANS(C$139))*SIN(RADIANS(C141))-SIN(RADIANS(C$139))*COS(RADIANS(C141))*COS(RADIANS(C142-C$140)),SIN(RADIANS(C142-C$140))*COS(RADIANS(C141)))</f>
        <v>-113.64935363716368</v>
      </c>
    </row>
  </sheetData>
  <mergeCells count="10">
    <mergeCell ref="B115:C115"/>
    <mergeCell ref="B124:C124"/>
    <mergeCell ref="B131:C131"/>
    <mergeCell ref="B138:C138"/>
    <mergeCell ref="B66:C66"/>
    <mergeCell ref="B76:C76"/>
    <mergeCell ref="B87:C87"/>
    <mergeCell ref="B97:C97"/>
    <mergeCell ref="B106:C106"/>
    <mergeCell ref="B102:C10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4"/>
  <sheetViews>
    <sheetView workbookViewId="0">
      <selection activeCell="B7" sqref="B7"/>
    </sheetView>
  </sheetViews>
  <sheetFormatPr defaultColWidth="9.125" defaultRowHeight="14.25" x14ac:dyDescent="0.2"/>
  <cols>
    <col min="1" max="1" width="11.875" style="22" bestFit="1" customWidth="1"/>
    <col min="2" max="2" width="11.625" style="22" bestFit="1" customWidth="1"/>
    <col min="3" max="3" width="15.625" style="22" bestFit="1" customWidth="1"/>
    <col min="4" max="4" width="20.625" style="22" bestFit="1" customWidth="1"/>
    <col min="5" max="16384" width="9.125" style="22"/>
  </cols>
  <sheetData>
    <row r="1" spans="1:8" ht="15" x14ac:dyDescent="0.2">
      <c r="A1" s="27" t="s">
        <v>38</v>
      </c>
      <c r="B1" s="27" t="s">
        <v>36</v>
      </c>
      <c r="C1" s="27" t="s">
        <v>39</v>
      </c>
      <c r="D1" s="27" t="s">
        <v>347</v>
      </c>
      <c r="F1" s="27"/>
      <c r="G1" s="27" t="s">
        <v>317</v>
      </c>
      <c r="H1" s="27"/>
    </row>
    <row r="2" spans="1:8" x14ac:dyDescent="0.2">
      <c r="A2" s="19">
        <v>1</v>
      </c>
      <c r="B2" s="19" t="s">
        <v>324</v>
      </c>
      <c r="C2" s="19" t="s">
        <v>278</v>
      </c>
      <c r="D2" s="19"/>
    </row>
    <row r="3" spans="1:8" x14ac:dyDescent="0.2">
      <c r="A3" s="19">
        <v>2</v>
      </c>
      <c r="B3" s="19" t="s">
        <v>305</v>
      </c>
      <c r="C3" s="19" t="s">
        <v>279</v>
      </c>
      <c r="D3" s="19"/>
    </row>
    <row r="4" spans="1:8" x14ac:dyDescent="0.2">
      <c r="A4" s="19">
        <v>3</v>
      </c>
      <c r="B4" s="19" t="s">
        <v>324</v>
      </c>
      <c r="C4" s="19" t="s">
        <v>280</v>
      </c>
      <c r="D4" s="19"/>
    </row>
    <row r="5" spans="1:8" x14ac:dyDescent="0.2">
      <c r="A5" s="19">
        <v>4</v>
      </c>
      <c r="B5" s="19" t="s">
        <v>324</v>
      </c>
      <c r="C5" s="19" t="s">
        <v>281</v>
      </c>
      <c r="D5" s="19"/>
    </row>
    <row r="6" spans="1:8" x14ac:dyDescent="0.2">
      <c r="A6" s="19">
        <v>5</v>
      </c>
      <c r="B6" s="19" t="s">
        <v>324</v>
      </c>
      <c r="C6" s="19" t="s">
        <v>282</v>
      </c>
      <c r="D6" s="19"/>
    </row>
    <row r="7" spans="1:8" x14ac:dyDescent="0.2">
      <c r="A7" s="19">
        <v>6</v>
      </c>
      <c r="B7" s="19" t="s">
        <v>305</v>
      </c>
      <c r="C7" s="19" t="s">
        <v>283</v>
      </c>
      <c r="D7" s="19"/>
    </row>
    <row r="8" spans="1:8" x14ac:dyDescent="0.2">
      <c r="A8" s="19">
        <v>7</v>
      </c>
      <c r="B8" s="19" t="s">
        <v>305</v>
      </c>
      <c r="C8" s="19" t="s">
        <v>284</v>
      </c>
      <c r="D8" s="19"/>
    </row>
    <row r="9" spans="1:8" x14ac:dyDescent="0.2">
      <c r="A9" s="19">
        <v>8</v>
      </c>
      <c r="B9" s="19" t="s">
        <v>324</v>
      </c>
      <c r="C9" s="19" t="s">
        <v>285</v>
      </c>
      <c r="D9" s="19"/>
    </row>
    <row r="10" spans="1:8" x14ac:dyDescent="0.2">
      <c r="A10" s="19">
        <v>9</v>
      </c>
      <c r="B10" s="19" t="s">
        <v>305</v>
      </c>
      <c r="C10" s="19" t="s">
        <v>326</v>
      </c>
      <c r="D10" s="19"/>
    </row>
    <row r="11" spans="1:8" x14ac:dyDescent="0.2">
      <c r="A11" s="19">
        <v>10</v>
      </c>
      <c r="B11" s="19" t="s">
        <v>305</v>
      </c>
      <c r="C11" s="19" t="s">
        <v>327</v>
      </c>
      <c r="D11" s="19"/>
    </row>
    <row r="12" spans="1:8" x14ac:dyDescent="0.2">
      <c r="A12" s="19">
        <v>11</v>
      </c>
      <c r="B12" s="19" t="s">
        <v>305</v>
      </c>
      <c r="C12" s="19" t="s">
        <v>328</v>
      </c>
      <c r="D12" s="19"/>
    </row>
    <row r="13" spans="1:8" x14ac:dyDescent="0.2">
      <c r="A13" s="19">
        <v>12</v>
      </c>
      <c r="B13" s="19" t="s">
        <v>324</v>
      </c>
      <c r="C13" s="19" t="s">
        <v>295</v>
      </c>
      <c r="D13" s="19"/>
    </row>
    <row r="14" spans="1:8" x14ac:dyDescent="0.2">
      <c r="A14" s="19">
        <v>13</v>
      </c>
      <c r="B14" s="19" t="s">
        <v>324</v>
      </c>
      <c r="C14" s="19" t="s">
        <v>294</v>
      </c>
      <c r="D14" s="19"/>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Z210"/>
  <sheetViews>
    <sheetView zoomScaleNormal="100" workbookViewId="0">
      <selection activeCell="M26" sqref="M26"/>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15" t="str">
        <f>'Parameters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'Parameters List'!B4</f>
        <v>Antenna Number (1 or 2)</v>
      </c>
      <c r="C4" s="49"/>
      <c r="D4" s="49"/>
      <c r="E4" s="50">
        <v>1</v>
      </c>
      <c r="F4" s="50">
        <v>1</v>
      </c>
      <c r="G4" s="50">
        <v>1</v>
      </c>
      <c r="H4" s="50">
        <v>1</v>
      </c>
      <c r="I4" s="50">
        <v>1</v>
      </c>
      <c r="J4" s="50">
        <v>1</v>
      </c>
      <c r="K4" s="50">
        <v>1</v>
      </c>
      <c r="L4" s="50">
        <v>1</v>
      </c>
      <c r="M4" s="50">
        <v>1</v>
      </c>
      <c r="N4" s="50">
        <v>1</v>
      </c>
      <c r="O4" s="50">
        <v>1</v>
      </c>
      <c r="P4" s="50">
        <v>1</v>
      </c>
      <c r="Q4" s="50">
        <v>1</v>
      </c>
      <c r="R4" s="50">
        <v>1</v>
      </c>
      <c r="S4" s="50">
        <v>1</v>
      </c>
      <c r="T4" s="50">
        <v>1</v>
      </c>
      <c r="U4" s="50">
        <v>1</v>
      </c>
      <c r="V4" s="50">
        <v>1</v>
      </c>
      <c r="W4" s="50">
        <v>1</v>
      </c>
      <c r="X4" s="50">
        <v>1</v>
      </c>
      <c r="Y4" s="50">
        <v>1</v>
      </c>
      <c r="Z4" s="50">
        <v>1</v>
      </c>
      <c r="AA4" s="50">
        <v>1</v>
      </c>
      <c r="AB4" s="50">
        <v>1</v>
      </c>
      <c r="AC4" s="50">
        <v>1</v>
      </c>
      <c r="AD4" s="50">
        <v>1</v>
      </c>
      <c r="AE4" s="50">
        <v>1</v>
      </c>
      <c r="AF4" s="50">
        <v>1</v>
      </c>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'Parameters List'!B5</f>
        <v>Steer Az (clockwise - positive)</v>
      </c>
      <c r="C5" s="49"/>
      <c r="D5" s="49"/>
      <c r="E5" s="50">
        <v>-42</v>
      </c>
      <c r="F5" s="50">
        <v>-30</v>
      </c>
      <c r="G5" s="50">
        <v>-18</v>
      </c>
      <c r="H5" s="50">
        <v>-6</v>
      </c>
      <c r="I5" s="50">
        <v>6</v>
      </c>
      <c r="J5" s="50">
        <v>18</v>
      </c>
      <c r="K5" s="50">
        <v>30</v>
      </c>
      <c r="L5" s="50">
        <v>42</v>
      </c>
      <c r="M5" s="50">
        <v>-42</v>
      </c>
      <c r="N5" s="50">
        <v>-27</v>
      </c>
      <c r="O5" s="50">
        <v>-14</v>
      </c>
      <c r="P5" s="50">
        <v>-1</v>
      </c>
      <c r="Q5" s="50">
        <v>11</v>
      </c>
      <c r="R5" s="50">
        <v>24</v>
      </c>
      <c r="S5" s="50">
        <v>39</v>
      </c>
      <c r="T5" s="50">
        <v>-38</v>
      </c>
      <c r="U5" s="50">
        <v>-24</v>
      </c>
      <c r="V5" s="50">
        <v>-11</v>
      </c>
      <c r="W5" s="50">
        <v>2</v>
      </c>
      <c r="X5" s="50">
        <v>15</v>
      </c>
      <c r="Y5" s="50">
        <v>28</v>
      </c>
      <c r="Z5" s="50">
        <v>42</v>
      </c>
      <c r="AA5" s="50">
        <v>-40</v>
      </c>
      <c r="AB5" s="50">
        <v>-24</v>
      </c>
      <c r="AC5" s="50">
        <v>-8</v>
      </c>
      <c r="AD5" s="50">
        <v>8</v>
      </c>
      <c r="AE5" s="50">
        <v>24</v>
      </c>
      <c r="AF5" s="50">
        <v>40</v>
      </c>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'Parameters List'!B6</f>
        <v>Steer El (up - positive)</v>
      </c>
      <c r="C6" s="49"/>
      <c r="D6" s="49"/>
      <c r="E6" s="50">
        <v>6</v>
      </c>
      <c r="F6" s="50">
        <v>6</v>
      </c>
      <c r="G6" s="50">
        <v>6</v>
      </c>
      <c r="H6" s="50">
        <v>6</v>
      </c>
      <c r="I6" s="50">
        <v>6</v>
      </c>
      <c r="J6" s="50">
        <v>6</v>
      </c>
      <c r="K6" s="50">
        <v>6</v>
      </c>
      <c r="L6" s="50">
        <v>6</v>
      </c>
      <c r="M6" s="50">
        <v>17</v>
      </c>
      <c r="N6" s="50">
        <v>17</v>
      </c>
      <c r="O6" s="50">
        <v>17</v>
      </c>
      <c r="P6" s="50">
        <v>17</v>
      </c>
      <c r="Q6" s="50">
        <v>17</v>
      </c>
      <c r="R6" s="50">
        <v>17</v>
      </c>
      <c r="S6" s="50">
        <v>17</v>
      </c>
      <c r="T6" s="50">
        <v>28</v>
      </c>
      <c r="U6" s="50">
        <v>28</v>
      </c>
      <c r="V6" s="50">
        <v>28</v>
      </c>
      <c r="W6" s="50">
        <v>28</v>
      </c>
      <c r="X6" s="50">
        <v>28</v>
      </c>
      <c r="Y6" s="50">
        <v>28</v>
      </c>
      <c r="Z6" s="50">
        <v>28</v>
      </c>
      <c r="AA6" s="50">
        <v>40</v>
      </c>
      <c r="AB6" s="50">
        <v>40</v>
      </c>
      <c r="AC6" s="50">
        <v>40</v>
      </c>
      <c r="AD6" s="50">
        <v>40</v>
      </c>
      <c r="AE6" s="50">
        <v>40</v>
      </c>
      <c r="AF6" s="50">
        <v>40</v>
      </c>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'Parameters List'!B9</f>
        <v>Antenna Number (1 or 2)</v>
      </c>
      <c r="C9" s="49"/>
      <c r="D9" s="49"/>
      <c r="E9" s="50">
        <v>1</v>
      </c>
      <c r="F9" s="50">
        <v>1</v>
      </c>
      <c r="G9" s="50">
        <v>1</v>
      </c>
      <c r="H9" s="50">
        <v>1</v>
      </c>
      <c r="I9" s="50">
        <v>1</v>
      </c>
      <c r="J9" s="50">
        <v>1</v>
      </c>
      <c r="K9" s="50">
        <v>1</v>
      </c>
      <c r="L9" s="50">
        <v>1</v>
      </c>
      <c r="M9" s="50">
        <v>1</v>
      </c>
      <c r="N9" s="50">
        <v>1</v>
      </c>
      <c r="O9" s="50">
        <v>1</v>
      </c>
      <c r="P9" s="50">
        <v>1</v>
      </c>
      <c r="Q9" s="50">
        <v>1</v>
      </c>
      <c r="R9" s="50">
        <v>1</v>
      </c>
      <c r="S9" s="50">
        <v>1</v>
      </c>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'Parameters List'!B10</f>
        <v>Steer Az (clockwise - positive)</v>
      </c>
      <c r="C10" s="49"/>
      <c r="D10" s="49"/>
      <c r="E10" s="50">
        <v>-42</v>
      </c>
      <c r="F10" s="50">
        <v>-30</v>
      </c>
      <c r="G10" s="50">
        <v>-18</v>
      </c>
      <c r="H10" s="50">
        <v>-6</v>
      </c>
      <c r="I10" s="50">
        <v>6</v>
      </c>
      <c r="J10" s="50">
        <v>18</v>
      </c>
      <c r="K10" s="50">
        <v>30</v>
      </c>
      <c r="L10" s="50">
        <v>42</v>
      </c>
      <c r="M10" s="50">
        <v>-42</v>
      </c>
      <c r="N10" s="50">
        <v>-27</v>
      </c>
      <c r="O10" s="50">
        <v>-14</v>
      </c>
      <c r="P10" s="50">
        <v>-1</v>
      </c>
      <c r="Q10" s="50">
        <v>11</v>
      </c>
      <c r="R10" s="50">
        <v>24</v>
      </c>
      <c r="S10" s="50">
        <v>39</v>
      </c>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'Parameters List'!B11</f>
        <v>Steer El (up - positive)</v>
      </c>
      <c r="C11" s="49"/>
      <c r="D11" s="49"/>
      <c r="E11" s="50">
        <v>6</v>
      </c>
      <c r="F11" s="50">
        <v>6</v>
      </c>
      <c r="G11" s="50">
        <v>6</v>
      </c>
      <c r="H11" s="50">
        <v>6</v>
      </c>
      <c r="I11" s="50">
        <v>6</v>
      </c>
      <c r="J11" s="50">
        <v>6</v>
      </c>
      <c r="K11" s="50">
        <v>6</v>
      </c>
      <c r="L11" s="50">
        <v>6</v>
      </c>
      <c r="M11" s="50">
        <v>17</v>
      </c>
      <c r="N11" s="50">
        <v>17</v>
      </c>
      <c r="O11" s="50">
        <v>17</v>
      </c>
      <c r="P11" s="50">
        <v>17</v>
      </c>
      <c r="Q11" s="50">
        <v>17</v>
      </c>
      <c r="R11" s="50">
        <v>17</v>
      </c>
      <c r="S11" s="50">
        <v>17</v>
      </c>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'Parameters List'!B13</f>
        <v>Processing Channel Number (1 or 2)</v>
      </c>
      <c r="C13" s="49"/>
      <c r="D13" s="49"/>
      <c r="E13" s="33">
        <v>1</v>
      </c>
      <c r="F13" s="33">
        <v>1</v>
      </c>
      <c r="G13" s="33">
        <v>1</v>
      </c>
      <c r="H13" s="33">
        <v>1</v>
      </c>
      <c r="I13" s="33">
        <v>1</v>
      </c>
      <c r="J13" s="33">
        <v>1</v>
      </c>
      <c r="K13" s="33">
        <v>1</v>
      </c>
      <c r="L13" s="33">
        <v>1</v>
      </c>
      <c r="M13" s="33">
        <v>1</v>
      </c>
      <c r="N13" s="33">
        <v>1</v>
      </c>
      <c r="O13" s="33">
        <v>1</v>
      </c>
      <c r="P13" s="33">
        <v>1</v>
      </c>
      <c r="Q13" s="33">
        <v>1</v>
      </c>
      <c r="R13" s="33">
        <v>1</v>
      </c>
      <c r="S13" s="33">
        <v>2</v>
      </c>
      <c r="T13" s="33">
        <v>2</v>
      </c>
      <c r="U13" s="33">
        <v>2</v>
      </c>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'Parameters List'!B14</f>
        <v>Beam type (relative to processing channel)</v>
      </c>
      <c r="C14" s="49"/>
      <c r="D14" s="49"/>
      <c r="E14" s="33">
        <v>1</v>
      </c>
      <c r="F14" s="33">
        <v>2</v>
      </c>
      <c r="G14" s="33">
        <v>3</v>
      </c>
      <c r="H14" s="33">
        <v>4</v>
      </c>
      <c r="I14" s="33">
        <v>5</v>
      </c>
      <c r="J14" s="33">
        <v>6</v>
      </c>
      <c r="K14" s="33">
        <v>7</v>
      </c>
      <c r="L14" s="33">
        <v>8</v>
      </c>
      <c r="M14" s="33">
        <v>9</v>
      </c>
      <c r="N14" s="33">
        <v>10</v>
      </c>
      <c r="O14" s="33">
        <v>11</v>
      </c>
      <c r="P14" s="33">
        <v>12</v>
      </c>
      <c r="Q14" s="33">
        <v>13</v>
      </c>
      <c r="R14" s="33">
        <v>14</v>
      </c>
      <c r="S14" s="33">
        <v>1</v>
      </c>
      <c r="T14" s="33">
        <v>2</v>
      </c>
      <c r="U14" s="33">
        <v>3</v>
      </c>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'Parameters List'!B15</f>
        <v>Stagger number (1 or 2)</v>
      </c>
      <c r="C15" s="58"/>
      <c r="D15" s="58"/>
      <c r="E15" s="33">
        <v>1</v>
      </c>
      <c r="F15" s="33">
        <v>1</v>
      </c>
      <c r="G15" s="33">
        <v>1</v>
      </c>
      <c r="H15" s="33">
        <v>1</v>
      </c>
      <c r="I15" s="33">
        <v>1</v>
      </c>
      <c r="J15" s="33">
        <v>1</v>
      </c>
      <c r="K15" s="33">
        <v>1</v>
      </c>
      <c r="L15" s="33">
        <v>1</v>
      </c>
      <c r="M15" s="33">
        <v>1</v>
      </c>
      <c r="N15" s="33">
        <v>1</v>
      </c>
      <c r="O15" s="33">
        <v>1</v>
      </c>
      <c r="P15" s="33">
        <v>1</v>
      </c>
      <c r="Q15" s="33">
        <v>1</v>
      </c>
      <c r="R15" s="33">
        <v>1</v>
      </c>
      <c r="S15" s="33">
        <v>1</v>
      </c>
      <c r="T15" s="33">
        <v>1</v>
      </c>
      <c r="U15" s="33">
        <v>1</v>
      </c>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'Parameters List'!B16</f>
        <v>Receiving Patch Group (1 or 2)</v>
      </c>
      <c r="C16" s="58"/>
      <c r="D16" s="58"/>
      <c r="E16" s="33">
        <v>1</v>
      </c>
      <c r="F16" s="33">
        <v>1</v>
      </c>
      <c r="G16" s="33">
        <v>1</v>
      </c>
      <c r="H16" s="33">
        <v>1</v>
      </c>
      <c r="I16" s="33">
        <v>1</v>
      </c>
      <c r="J16" s="33">
        <v>1</v>
      </c>
      <c r="K16" s="33">
        <v>1</v>
      </c>
      <c r="L16" s="33">
        <v>1</v>
      </c>
      <c r="M16" s="33">
        <v>1</v>
      </c>
      <c r="N16" s="33">
        <v>1</v>
      </c>
      <c r="O16" s="33">
        <v>1</v>
      </c>
      <c r="P16" s="33">
        <v>1</v>
      </c>
      <c r="Q16" s="33">
        <v>1</v>
      </c>
      <c r="R16" s="33">
        <v>1</v>
      </c>
      <c r="S16" s="33">
        <v>1</v>
      </c>
      <c r="T16" s="33">
        <v>1</v>
      </c>
      <c r="U16" s="33">
        <v>1</v>
      </c>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'Parameters List'!B17</f>
        <v>Tracking (0 or 1)</v>
      </c>
      <c r="C17" s="58"/>
      <c r="D17" s="58"/>
      <c r="E17" s="33">
        <v>0</v>
      </c>
      <c r="F17" s="33">
        <v>0</v>
      </c>
      <c r="G17" s="33">
        <v>0</v>
      </c>
      <c r="H17" s="33">
        <v>0</v>
      </c>
      <c r="I17" s="33">
        <v>0</v>
      </c>
      <c r="J17" s="33">
        <v>0</v>
      </c>
      <c r="K17" s="33">
        <v>0</v>
      </c>
      <c r="L17" s="33">
        <v>0</v>
      </c>
      <c r="M17" s="33">
        <v>0</v>
      </c>
      <c r="N17" s="33">
        <v>0</v>
      </c>
      <c r="O17" s="33">
        <v>0</v>
      </c>
      <c r="P17" s="33">
        <v>0</v>
      </c>
      <c r="Q17" s="33">
        <v>0</v>
      </c>
      <c r="R17" s="33">
        <v>0</v>
      </c>
      <c r="S17" s="33">
        <v>0</v>
      </c>
      <c r="T17" s="33">
        <v>0</v>
      </c>
      <c r="U17" s="33">
        <v>0</v>
      </c>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'Parameters List'!B18</f>
        <v>Stagger PRI Sequence (Chip Units)</v>
      </c>
      <c r="C18" s="58"/>
      <c r="D18" s="58"/>
      <c r="E18" s="123">
        <f t="shared" ref="E18:AJ18" si="0">IF(E$13=1, (E$14-1)*$C$31,IF(E$13=2,((E$14-1)*$D$31),""))</f>
        <v>0</v>
      </c>
      <c r="F18" s="123">
        <f t="shared" si="0"/>
        <v>1</v>
      </c>
      <c r="G18" s="123">
        <f t="shared" si="0"/>
        <v>2</v>
      </c>
      <c r="H18" s="123">
        <f t="shared" si="0"/>
        <v>3</v>
      </c>
      <c r="I18" s="123">
        <f t="shared" si="0"/>
        <v>4</v>
      </c>
      <c r="J18" s="123">
        <f t="shared" si="0"/>
        <v>5</v>
      </c>
      <c r="K18" s="123">
        <f t="shared" si="0"/>
        <v>6</v>
      </c>
      <c r="L18" s="123">
        <f t="shared" si="0"/>
        <v>7</v>
      </c>
      <c r="M18" s="123">
        <f t="shared" si="0"/>
        <v>8</v>
      </c>
      <c r="N18" s="123">
        <f t="shared" si="0"/>
        <v>9</v>
      </c>
      <c r="O18" s="123">
        <f t="shared" si="0"/>
        <v>10</v>
      </c>
      <c r="P18" s="123">
        <f t="shared" si="0"/>
        <v>11</v>
      </c>
      <c r="Q18" s="123">
        <f t="shared" si="0"/>
        <v>12</v>
      </c>
      <c r="R18" s="123">
        <f t="shared" si="0"/>
        <v>13</v>
      </c>
      <c r="S18" s="123">
        <f t="shared" si="0"/>
        <v>0</v>
      </c>
      <c r="T18" s="123">
        <f t="shared" si="0"/>
        <v>1</v>
      </c>
      <c r="U18" s="123">
        <f t="shared" si="0"/>
        <v>2</v>
      </c>
      <c r="V18" s="123" t="str">
        <f t="shared" si="0"/>
        <v/>
      </c>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CONCATENATE('XML File Parameters'!D2," XMLver",'XML File Parameters'!D3,".",'XML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'Parameters List'!B21</f>
        <v>Apply RG Optimization</v>
      </c>
      <c r="C21" s="64"/>
      <c r="D21" s="64"/>
      <c r="F21" s="43"/>
      <c r="G21" s="43"/>
      <c r="H21" s="43"/>
      <c r="I21" s="43"/>
      <c r="J21" s="43"/>
      <c r="K21" s="43"/>
      <c r="L21" s="43"/>
      <c r="M21" s="43"/>
      <c r="N21" s="43"/>
      <c r="O21" s="43"/>
      <c r="P21" s="43"/>
      <c r="Q21" s="43"/>
      <c r="R21" s="43"/>
      <c r="S21" s="43"/>
    </row>
    <row r="22" spans="1:78" x14ac:dyDescent="0.2">
      <c r="A22" s="91" t="s">
        <v>78</v>
      </c>
      <c r="B22" s="104" t="str">
        <f>'Parameters List'!B22</f>
        <v>Sequential Repetition</v>
      </c>
      <c r="C22" s="64">
        <v>1</v>
      </c>
      <c r="D22" s="64">
        <v>1</v>
      </c>
      <c r="E22" s="6">
        <f>C22*C30</f>
        <v>121.48480000000001</v>
      </c>
      <c r="F22" s="43"/>
      <c r="G22" s="43"/>
      <c r="H22" s="43"/>
      <c r="I22" s="43"/>
      <c r="J22" s="43"/>
      <c r="K22" s="43"/>
      <c r="L22" s="43"/>
      <c r="M22" s="43"/>
      <c r="N22" s="43"/>
      <c r="O22" s="43"/>
      <c r="P22" s="43"/>
      <c r="Q22" s="43"/>
      <c r="R22" s="43"/>
      <c r="S22" s="43"/>
    </row>
    <row r="23" spans="1:78" x14ac:dyDescent="0.2">
      <c r="A23" s="91" t="s">
        <v>78</v>
      </c>
      <c r="B23" s="104" t="str">
        <f>'Parameters List'!B23</f>
        <v>Max Dets to process</v>
      </c>
      <c r="C23" s="64">
        <v>256</v>
      </c>
      <c r="D23" s="64">
        <v>256</v>
      </c>
      <c r="E23" s="65"/>
      <c r="F23" s="43"/>
      <c r="G23" s="43"/>
      <c r="H23" s="43"/>
      <c r="I23" s="43"/>
      <c r="J23" s="43"/>
      <c r="K23" s="43"/>
      <c r="L23" s="43"/>
      <c r="M23" s="43"/>
      <c r="N23" s="43"/>
      <c r="O23" s="43"/>
      <c r="P23" s="43"/>
      <c r="Q23" s="43"/>
      <c r="R23" s="43"/>
      <c r="S23" s="43"/>
    </row>
    <row r="24" spans="1:78" x14ac:dyDescent="0.2">
      <c r="A24" s="91"/>
      <c r="B24" s="95" t="str">
        <f>'Parameters List'!B24</f>
        <v>Number of Steers</v>
      </c>
      <c r="C24" s="33">
        <f>COUNTIF(E$4:BP$4,"&gt;0")</f>
        <v>28</v>
      </c>
      <c r="D24" s="33">
        <f>COUNTIF(E$9:BP$9,"&gt;0")</f>
        <v>15</v>
      </c>
      <c r="E24" s="65"/>
      <c r="F24" s="43"/>
      <c r="G24" s="43"/>
      <c r="H24" s="43"/>
      <c r="I24" s="43"/>
      <c r="J24" s="43"/>
      <c r="K24" s="43"/>
      <c r="L24" s="43"/>
      <c r="M24" s="43"/>
      <c r="N24" s="43"/>
      <c r="O24" s="43"/>
      <c r="P24" s="43"/>
      <c r="Q24" s="43"/>
      <c r="R24" s="43"/>
      <c r="S24" s="43"/>
    </row>
    <row r="25" spans="1:78" x14ac:dyDescent="0.2">
      <c r="A25" s="91"/>
      <c r="B25" s="95" t="str">
        <f>'Parameters List'!B25</f>
        <v>Number of Beam Types</v>
      </c>
      <c r="C25" s="33">
        <f>COUNTIFS($E$13:$AJ$13,"=1",$E$15:$AJ$15,"=1")</f>
        <v>14</v>
      </c>
      <c r="D25" s="33">
        <f>COUNTIFS($E$13:$AJ$13,"=2",$E$15:$AJ$15,"=1")</f>
        <v>3</v>
      </c>
      <c r="E25" s="65"/>
      <c r="F25" s="43"/>
      <c r="G25" s="43"/>
      <c r="H25" s="43"/>
      <c r="I25" s="43"/>
      <c r="J25" s="43"/>
      <c r="K25" s="43"/>
      <c r="L25" s="43"/>
      <c r="M25" s="43"/>
      <c r="N25" s="43"/>
      <c r="O25" s="43"/>
      <c r="P25" s="43"/>
      <c r="Q25" s="43"/>
      <c r="R25" s="43"/>
      <c r="S25" s="43"/>
    </row>
    <row r="26" spans="1:78" x14ac:dyDescent="0.2">
      <c r="A26" s="91"/>
      <c r="B26" s="95" t="str">
        <f>'Parameters List'!B26</f>
        <v>Number of Beams</v>
      </c>
      <c r="C26" s="33">
        <f>COUNTIF($E$13:$AJ$13,"=1")</f>
        <v>14</v>
      </c>
      <c r="D26" s="33">
        <f>COUNTIF($E$13:$AJ$13,"=2")</f>
        <v>3</v>
      </c>
      <c r="E26" s="65"/>
      <c r="F26" s="43"/>
      <c r="G26" s="43"/>
      <c r="H26" s="43"/>
      <c r="I26" s="43"/>
      <c r="J26" s="43"/>
      <c r="K26" s="43"/>
      <c r="L26" s="43"/>
      <c r="M26" s="43"/>
      <c r="N26" s="43"/>
      <c r="O26" s="43"/>
      <c r="P26" s="43"/>
      <c r="Q26" s="43"/>
      <c r="R26" s="43"/>
      <c r="S26" s="43"/>
    </row>
    <row r="27" spans="1:78" x14ac:dyDescent="0.2">
      <c r="A27" s="91"/>
      <c r="B27" s="95" t="str">
        <f>'Parameters List'!B27</f>
        <v>Number of Beams at Antenna1</v>
      </c>
      <c r="C27" s="33">
        <f>IF(COUNTIF($E$4:$BP$4,"=1")&gt;=C$25,C$26,COUNTIF($E$4:$BP$4,"=1")*C$26/C$25)</f>
        <v>14</v>
      </c>
      <c r="D27" s="33">
        <f>IF(COUNTIF($E$9:$BP$9,"=1")&gt;=D$25,D$26,COUNTIF($E$9:$BP$9,"=1")*D$26/D$25)</f>
        <v>3</v>
      </c>
      <c r="E27" s="65"/>
      <c r="F27" s="43"/>
      <c r="G27" s="43"/>
      <c r="H27" s="43"/>
      <c r="I27" s="43"/>
      <c r="J27" s="43"/>
      <c r="K27" s="43"/>
      <c r="L27" s="43"/>
      <c r="M27" s="43"/>
      <c r="N27" s="43"/>
      <c r="O27" s="43"/>
      <c r="P27" s="43"/>
      <c r="Q27" s="43"/>
      <c r="R27" s="43"/>
      <c r="S27" s="43"/>
    </row>
    <row r="28" spans="1:78" x14ac:dyDescent="0.2">
      <c r="A28" s="91"/>
      <c r="B28" s="95" t="str">
        <f>'Parameters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'Parameters List'!B29</f>
        <v>Desired CPI (ms)</v>
      </c>
      <c r="C29" s="64">
        <v>122</v>
      </c>
      <c r="D29" s="64">
        <v>122</v>
      </c>
      <c r="G29" s="43"/>
      <c r="H29" s="43"/>
      <c r="I29" s="43"/>
      <c r="J29" s="43"/>
      <c r="K29" s="43"/>
      <c r="L29" s="43"/>
      <c r="M29" s="43"/>
      <c r="N29" s="43"/>
      <c r="O29" s="43"/>
      <c r="P29" s="43"/>
      <c r="Q29" s="43"/>
      <c r="R29" s="43"/>
      <c r="S29" s="43"/>
    </row>
    <row r="30" spans="1:78" x14ac:dyDescent="0.2">
      <c r="A30" s="91" t="s">
        <v>78</v>
      </c>
      <c r="B30" s="95" t="str">
        <f>'Parameters List'!B30</f>
        <v>Actual CPI (ms)</v>
      </c>
      <c r="C30" s="33">
        <f>(C$49*$C$104*C$51)/1000</f>
        <v>121.48480000000001</v>
      </c>
      <c r="D30" s="33">
        <f>(D$49*$C$104*D$51)/1000</f>
        <v>121.48480000000001</v>
      </c>
      <c r="F30" s="43"/>
      <c r="G30" s="43"/>
      <c r="H30" s="43"/>
      <c r="I30" s="43"/>
      <c r="J30" s="43"/>
      <c r="K30" s="43"/>
      <c r="L30" s="43"/>
      <c r="M30" s="43"/>
      <c r="N30" s="43"/>
      <c r="O30" s="43"/>
      <c r="P30" s="43"/>
      <c r="Q30" s="43"/>
      <c r="R30" s="43"/>
      <c r="S30" s="43"/>
    </row>
    <row r="31" spans="1:78" x14ac:dyDescent="0.2">
      <c r="A31" s="91" t="s">
        <v>78</v>
      </c>
      <c r="B31" s="94" t="str">
        <f>'Parameters List'!B31</f>
        <v>Multi Stagger - PRI Ext (in Chip Units)</v>
      </c>
      <c r="C31" s="64">
        <v>1</v>
      </c>
      <c r="D31" s="64">
        <v>1</v>
      </c>
      <c r="E31" s="65"/>
      <c r="F31" s="119"/>
      <c r="G31" s="43"/>
      <c r="H31" s="43"/>
      <c r="I31" s="43"/>
      <c r="J31" s="43"/>
      <c r="K31" s="43"/>
      <c r="L31" s="43"/>
      <c r="M31" s="43"/>
      <c r="N31" s="43"/>
      <c r="O31" s="43"/>
      <c r="P31" s="43"/>
      <c r="Q31" s="43"/>
      <c r="R31" s="43"/>
      <c r="S31" s="43"/>
    </row>
    <row r="32" spans="1:78" x14ac:dyDescent="0.2">
      <c r="A32" s="91" t="s">
        <v>78</v>
      </c>
      <c r="B32" s="94" t="str">
        <f>'Parameters List'!B32</f>
        <v>Stagger1 PRI (µs)</v>
      </c>
      <c r="C32" s="64">
        <v>33</v>
      </c>
      <c r="D32" s="64">
        <v>130</v>
      </c>
      <c r="F32" s="43"/>
      <c r="G32" s="43"/>
      <c r="H32" s="43"/>
      <c r="I32" s="43"/>
      <c r="J32" s="43"/>
      <c r="K32" s="43"/>
      <c r="L32" s="43"/>
      <c r="M32" s="43"/>
      <c r="N32" s="43"/>
      <c r="O32" s="43"/>
      <c r="P32" s="43"/>
      <c r="Q32" s="43"/>
      <c r="R32" s="43"/>
      <c r="S32" s="43"/>
    </row>
    <row r="33" spans="1:19" x14ac:dyDescent="0.2">
      <c r="A33" s="91" t="s">
        <v>78</v>
      </c>
      <c r="B33" s="94" t="str">
        <f>'Parameters List'!B33</f>
        <v>Stagger2 PRI (µs)</v>
      </c>
      <c r="C33" s="64">
        <v>0</v>
      </c>
      <c r="D33" s="64">
        <v>0</v>
      </c>
      <c r="F33" s="43"/>
      <c r="G33" s="43"/>
      <c r="H33" s="43"/>
      <c r="I33" s="43"/>
      <c r="J33" s="43"/>
      <c r="K33" s="43"/>
      <c r="L33" s="43"/>
      <c r="M33" s="43"/>
      <c r="N33" s="43"/>
      <c r="O33" s="43"/>
      <c r="P33" s="43"/>
      <c r="Q33" s="43"/>
      <c r="R33" s="43"/>
      <c r="S33" s="43"/>
    </row>
    <row r="34" spans="1:19" x14ac:dyDescent="0.2">
      <c r="A34" s="91" t="s">
        <v>81</v>
      </c>
      <c r="B34" s="95" t="str">
        <f>'Parameters List'!B34</f>
        <v>Number of Staggers (1 or 2)</v>
      </c>
      <c r="C34" s="67">
        <f>1*(C$32&lt;&gt;0)+1*(C$33&lt;&gt;0)</f>
        <v>1</v>
      </c>
      <c r="D34" s="67">
        <f>1*(D$32&lt;&gt;0)+1*(D$33&lt;&gt;0)</f>
        <v>1</v>
      </c>
      <c r="F34" s="43"/>
      <c r="G34" s="43"/>
      <c r="H34" s="43"/>
      <c r="I34" s="43"/>
      <c r="J34" s="43"/>
      <c r="K34" s="43"/>
      <c r="L34" s="43"/>
      <c r="M34" s="43"/>
      <c r="N34" s="43"/>
      <c r="O34" s="43"/>
      <c r="P34" s="43"/>
      <c r="Q34" s="43"/>
      <c r="R34" s="43"/>
      <c r="S34" s="43"/>
    </row>
    <row r="35" spans="1:19" x14ac:dyDescent="0.2">
      <c r="A35" s="91"/>
      <c r="B35" s="94" t="str">
        <f>'Parameters List'!B35</f>
        <v>Stagger Loss (dB)</v>
      </c>
      <c r="C35" s="64">
        <v>0</v>
      </c>
      <c r="D35" s="64">
        <v>0</v>
      </c>
      <c r="F35" s="43"/>
      <c r="G35" s="43"/>
      <c r="H35" s="43"/>
      <c r="I35" s="43"/>
      <c r="J35" s="43"/>
      <c r="K35" s="43"/>
      <c r="L35" s="43"/>
      <c r="M35" s="43"/>
      <c r="N35" s="43"/>
      <c r="O35" s="43"/>
      <c r="P35" s="43"/>
      <c r="Q35" s="43"/>
      <c r="R35" s="43"/>
      <c r="S35" s="43"/>
    </row>
    <row r="36" spans="1:19" x14ac:dyDescent="0.2">
      <c r="A36" s="91" t="s">
        <v>78</v>
      </c>
      <c r="B36" s="95" t="str">
        <f>'Parameters List'!B36</f>
        <v>PW (µs)</v>
      </c>
      <c r="C36" s="33">
        <f>C$46*C$48*$C$174</f>
        <v>2</v>
      </c>
      <c r="D36" s="33">
        <f>D$46*D$48*$C$174</f>
        <v>26</v>
      </c>
      <c r="F36" s="43"/>
      <c r="G36" s="43"/>
      <c r="H36" s="43"/>
      <c r="I36" s="43"/>
      <c r="J36" s="43"/>
      <c r="K36" s="43"/>
      <c r="L36" s="43"/>
      <c r="M36" s="43"/>
      <c r="N36" s="43"/>
      <c r="O36" s="43"/>
      <c r="P36" s="43"/>
      <c r="Q36" s="43"/>
      <c r="R36" s="43"/>
      <c r="S36" s="43"/>
    </row>
    <row r="37" spans="1:19" x14ac:dyDescent="0.2">
      <c r="A37" s="91" t="s">
        <v>78</v>
      </c>
      <c r="B37" s="95" t="str">
        <f>'Parameters List'!B37</f>
        <v>Actual Bandwidth (MHz)</v>
      </c>
      <c r="C37" s="33">
        <f>2*C$48/(C$36*(2*(C$48=2)+1*(C$48&lt;&gt;2)))</f>
        <v>1</v>
      </c>
      <c r="D37" s="33">
        <f>2*D$48/(D$36*(2*(D$48=2)+1*(D$48&lt;&gt;2)))</f>
        <v>1</v>
      </c>
      <c r="F37" s="43"/>
      <c r="G37" s="43"/>
      <c r="H37" s="43"/>
      <c r="I37" s="43"/>
      <c r="J37" s="43"/>
      <c r="K37" s="43"/>
      <c r="L37" s="43"/>
      <c r="M37" s="43"/>
      <c r="N37" s="43"/>
      <c r="O37" s="43"/>
      <c r="P37" s="43"/>
      <c r="Q37" s="43"/>
      <c r="R37" s="43"/>
      <c r="S37" s="43"/>
    </row>
    <row r="38" spans="1:19" x14ac:dyDescent="0.2">
      <c r="A38" s="91" t="s">
        <v>81</v>
      </c>
      <c r="B38" s="95" t="str">
        <f>'Parameters List'!B38</f>
        <v>Range Resolution (m)</v>
      </c>
      <c r="C38" s="67">
        <f>$C$163*C$36 /C$48*(2*(C$48=2)+1*(C$48&lt;&gt;2))</f>
        <v>299.79245800000001</v>
      </c>
      <c r="D38" s="67">
        <f>$C$163*D$36 /D$48*(2*(D$48=2)+1*(D$48&lt;&gt;2))</f>
        <v>299.79245800000001</v>
      </c>
      <c r="F38" s="43"/>
      <c r="G38" s="43"/>
      <c r="H38" s="43"/>
      <c r="I38" s="43"/>
      <c r="J38" s="43"/>
      <c r="K38" s="43"/>
      <c r="L38" s="43"/>
      <c r="M38" s="43"/>
      <c r="N38" s="43"/>
      <c r="O38" s="43"/>
      <c r="P38" s="43"/>
      <c r="Q38" s="43"/>
      <c r="R38" s="43"/>
      <c r="S38" s="43"/>
    </row>
    <row r="39" spans="1:19" x14ac:dyDescent="0.2">
      <c r="A39" s="91" t="s">
        <v>81</v>
      </c>
      <c r="B39" s="95" t="str">
        <f>'Parameters List'!B39</f>
        <v>Range Gate Width (m)</v>
      </c>
      <c r="C39" s="67">
        <f>C$38*(1*(C$47=0)+0.5*(C$47&lt;&gt;0))</f>
        <v>149.89622900000001</v>
      </c>
      <c r="D39" s="67">
        <f>D$38*(1*(D$47=0)+0.5*(D$47&lt;&gt;0))</f>
        <v>149.89622900000001</v>
      </c>
      <c r="F39" s="43"/>
      <c r="G39" s="43"/>
      <c r="H39" s="43"/>
      <c r="I39" s="43"/>
      <c r="J39" s="43"/>
      <c r="K39" s="43"/>
      <c r="L39" s="43"/>
      <c r="M39" s="43"/>
      <c r="N39" s="43"/>
      <c r="O39" s="43"/>
      <c r="P39" s="43"/>
      <c r="Q39" s="43"/>
      <c r="R39" s="43"/>
      <c r="S39" s="43"/>
    </row>
    <row r="40" spans="1:19" x14ac:dyDescent="0.2">
      <c r="A40" s="91" t="s">
        <v>78</v>
      </c>
      <c r="B40" s="94" t="str">
        <f>'Parameters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'Parameters List'!B41</f>
        <v>Min Range Offset (m)</v>
      </c>
      <c r="C41" s="64">
        <v>0</v>
      </c>
      <c r="D41" s="64">
        <v>299</v>
      </c>
      <c r="F41" s="43"/>
      <c r="G41" s="43"/>
      <c r="H41" s="43"/>
      <c r="I41" s="43"/>
      <c r="J41" s="43"/>
      <c r="K41" s="43"/>
      <c r="L41" s="43"/>
      <c r="M41" s="43"/>
      <c r="N41" s="43"/>
      <c r="O41" s="43"/>
      <c r="P41" s="43"/>
      <c r="Q41" s="43"/>
      <c r="R41" s="43"/>
      <c r="S41" s="43"/>
    </row>
    <row r="42" spans="1:19" x14ac:dyDescent="0.2">
      <c r="A42" s="91" t="s">
        <v>78</v>
      </c>
      <c r="B42" s="94" t="str">
        <f>'Parameters List'!B42</f>
        <v>Max Range Offset (m)</v>
      </c>
      <c r="C42" s="64">
        <v>299</v>
      </c>
      <c r="D42" s="64">
        <v>30</v>
      </c>
      <c r="F42" s="43"/>
      <c r="G42" s="43"/>
      <c r="H42" s="43"/>
      <c r="I42" s="43"/>
      <c r="J42" s="43"/>
      <c r="K42" s="43"/>
      <c r="L42" s="43"/>
      <c r="M42" s="43"/>
      <c r="N42" s="43"/>
      <c r="O42" s="43"/>
      <c r="P42" s="43"/>
      <c r="Q42" s="43"/>
      <c r="R42" s="43"/>
      <c r="S42" s="43"/>
    </row>
    <row r="43" spans="1:19" x14ac:dyDescent="0.2">
      <c r="A43" s="91" t="s">
        <v>78</v>
      </c>
      <c r="B43" s="95" t="str">
        <f>'Parameters List'!B43</f>
        <v>Min Range (m)</v>
      </c>
      <c r="C43" s="67">
        <f>$C$163*C$36 + C$41</f>
        <v>299.79245800000001</v>
      </c>
      <c r="D43" s="67">
        <f>$C$163*D$36 + D$41</f>
        <v>4196.3019540000005</v>
      </c>
      <c r="F43" s="43"/>
      <c r="G43" s="43"/>
      <c r="H43" s="43"/>
      <c r="I43" s="43"/>
      <c r="J43" s="43"/>
      <c r="K43" s="43"/>
      <c r="L43" s="43"/>
      <c r="M43" s="43"/>
      <c r="N43" s="43"/>
      <c r="O43" s="43"/>
      <c r="P43" s="43"/>
      <c r="Q43" s="43"/>
      <c r="R43" s="43"/>
      <c r="S43" s="43"/>
    </row>
    <row r="44" spans="1:19" x14ac:dyDescent="0.2">
      <c r="A44" s="91" t="s">
        <v>78</v>
      </c>
      <c r="B44" s="95" t="str">
        <f>'Parameters List'!B44</f>
        <v>Max Range (m)</v>
      </c>
      <c r="C44" s="67">
        <f>$C$163*((C$45-1)*C$46*$C$174/IF(C$48=2,IF(C$47=1,1,0.5),IF(C$47=1,2,1)))+C$43</f>
        <v>4197.0944120000004</v>
      </c>
      <c r="D44" s="67">
        <f>$C$163*((D$45-1)*D$46*$C$174/IF(D$48=2,IF(D$47=1,1,0.5),IF(D$47=1,2,1)))+D$43</f>
        <v>15438.519129</v>
      </c>
      <c r="F44" s="43"/>
      <c r="G44" s="43"/>
      <c r="H44" s="43"/>
      <c r="I44" s="43"/>
      <c r="J44" s="43"/>
      <c r="K44" s="43"/>
      <c r="L44" s="43"/>
      <c r="M44" s="43"/>
      <c r="N44" s="43"/>
      <c r="O44" s="43"/>
      <c r="P44" s="43"/>
      <c r="Q44" s="43"/>
      <c r="R44" s="43"/>
      <c r="S44" s="43"/>
    </row>
    <row r="45" spans="1:19" x14ac:dyDescent="0.2">
      <c r="A45" s="91" t="s">
        <v>78</v>
      </c>
      <c r="B45" s="95" t="str">
        <f>'Parameters List'!B45</f>
        <v>NRG</v>
      </c>
      <c r="C45" s="33">
        <f>FLOOR((C$32-$C$161-2*C$36-(C$41+C$42)/$C$163)/(IF(C$48=2,IF(C$47=0,C$46*$C$174*2,C$46*$C$174),IF(C$47=0,C$46*$C$174,C$46*$C$174/2))),1)+1</f>
        <v>27</v>
      </c>
      <c r="D45" s="33">
        <f>FLOOR((D$32-$C$161-2*D$36-(D$41+D$42)/$C$163)/(IF(D$48=2,IF(D$47=0,D$46*$C$174*2,D$46*$C$174),IF(D$47=0,D$46*$C$174,D$46*$C$174/2))),1)+1</f>
        <v>76</v>
      </c>
      <c r="F45" s="43"/>
      <c r="G45" s="43"/>
      <c r="H45" s="43"/>
      <c r="I45" s="43"/>
      <c r="J45" s="43"/>
      <c r="K45" s="43"/>
      <c r="L45" s="43"/>
      <c r="M45" s="43"/>
      <c r="N45" s="43"/>
      <c r="O45" s="43"/>
      <c r="P45" s="43"/>
      <c r="Q45" s="43"/>
      <c r="R45" s="43"/>
      <c r="S45" s="43"/>
    </row>
    <row r="46" spans="1:19" x14ac:dyDescent="0.2">
      <c r="A46" s="91" t="s">
        <v>78</v>
      </c>
      <c r="B46" s="94" t="str">
        <f>'Parameters List'!B46</f>
        <v>TCHIP (even number)</v>
      </c>
      <c r="C46" s="64">
        <v>80</v>
      </c>
      <c r="D46" s="64">
        <v>160</v>
      </c>
      <c r="F46" s="43"/>
      <c r="G46" s="43"/>
      <c r="H46" s="43"/>
      <c r="I46" s="43"/>
      <c r="J46" s="43"/>
      <c r="K46" s="43"/>
      <c r="L46" s="43"/>
      <c r="M46" s="43"/>
      <c r="N46" s="43"/>
      <c r="O46" s="43"/>
      <c r="P46" s="43"/>
      <c r="Q46" s="43"/>
      <c r="R46" s="43"/>
      <c r="S46" s="43"/>
    </row>
    <row r="47" spans="1:19" x14ac:dyDescent="0.2">
      <c r="A47" s="91" t="s">
        <v>78</v>
      </c>
      <c r="B47" s="94" t="str">
        <f>'Parameters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'Parameters List'!B48</f>
        <v>NSERIES</v>
      </c>
      <c r="C48" s="64">
        <v>2</v>
      </c>
      <c r="D48" s="64">
        <v>13</v>
      </c>
      <c r="F48" s="43"/>
      <c r="G48" s="43"/>
      <c r="H48" s="43"/>
      <c r="I48" s="43"/>
      <c r="J48" s="43"/>
      <c r="K48" s="43"/>
      <c r="L48" s="43"/>
      <c r="M48" s="43"/>
      <c r="N48" s="43"/>
      <c r="O48" s="43"/>
      <c r="P48" s="43"/>
      <c r="Q48" s="43"/>
      <c r="R48" s="43"/>
      <c r="S48" s="43"/>
    </row>
    <row r="49" spans="1:19" x14ac:dyDescent="0.2">
      <c r="A49" s="91" t="s">
        <v>78</v>
      </c>
      <c r="B49" s="94" t="str">
        <f>'Parameters List'!B49</f>
        <v>POSTDEC</v>
      </c>
      <c r="C49" s="64">
        <v>1</v>
      </c>
      <c r="D49" s="64">
        <v>1</v>
      </c>
      <c r="F49" s="43"/>
      <c r="G49" s="43"/>
      <c r="H49" s="43"/>
      <c r="I49" s="43"/>
      <c r="J49" s="43"/>
      <c r="K49" s="43"/>
      <c r="L49" s="43"/>
      <c r="M49" s="43"/>
      <c r="N49" s="43"/>
      <c r="O49" s="43"/>
      <c r="P49" s="43"/>
      <c r="Q49" s="43"/>
      <c r="R49" s="43"/>
      <c r="S49" s="43"/>
    </row>
    <row r="50" spans="1:19" x14ac:dyDescent="0.2">
      <c r="A50" s="91"/>
      <c r="B50" s="80" t="str">
        <f>'Parameters List'!B50</f>
        <v>Max Abs Velocity Meas (m/s)</v>
      </c>
      <c r="C50" s="70">
        <f>1000000/($C$168*2*$C$104*C$49)</f>
        <v>22.562160994626488</v>
      </c>
      <c r="D50" s="70">
        <f>1000000/($C$168*2*$C$104*D$49)</f>
        <v>22.562160994626488</v>
      </c>
      <c r="F50" s="43"/>
      <c r="G50" s="43"/>
      <c r="H50" s="43"/>
      <c r="I50" s="43"/>
      <c r="J50" s="43"/>
      <c r="K50" s="43"/>
      <c r="L50" s="43"/>
      <c r="M50" s="43"/>
      <c r="N50" s="43"/>
      <c r="O50" s="43"/>
      <c r="P50" s="43"/>
      <c r="Q50" s="43"/>
      <c r="R50" s="43"/>
      <c r="S50" s="43"/>
    </row>
    <row r="51" spans="1:19" x14ac:dyDescent="0.2">
      <c r="A51" s="91" t="s">
        <v>78</v>
      </c>
      <c r="B51" s="95" t="str">
        <f>'Parameters List'!B51</f>
        <v>Npoints (up to FFT length)</v>
      </c>
      <c r="C51" s="33">
        <f>FLOOR((1000*C$29/$C$104/C$49),16)</f>
        <v>128</v>
      </c>
      <c r="D51" s="33">
        <f>FLOOR((1000*D$29/$C$104/D$49),16)</f>
        <v>128</v>
      </c>
      <c r="F51" s="43"/>
      <c r="G51" s="43"/>
      <c r="H51" s="43"/>
      <c r="I51" s="43"/>
      <c r="J51" s="43"/>
      <c r="K51" s="43"/>
      <c r="L51" s="43"/>
      <c r="M51" s="43"/>
      <c r="N51" s="43"/>
      <c r="O51" s="43"/>
      <c r="P51" s="43"/>
      <c r="Q51" s="43"/>
      <c r="R51" s="43"/>
      <c r="S51" s="43"/>
    </row>
    <row r="52" spans="1:19" x14ac:dyDescent="0.2">
      <c r="A52" s="91" t="s">
        <v>78</v>
      </c>
      <c r="B52" s="95" t="str">
        <f>'Parameters List'!B52</f>
        <v>FFT length (limited to 8192)</v>
      </c>
      <c r="C52" s="33">
        <f>2^CEILING(LOG10(C51)/LOG10(2),1)</f>
        <v>128</v>
      </c>
      <c r="D52" s="33">
        <f>2^CEILING(LOG10(D51)/LOG10(2),1)</f>
        <v>128</v>
      </c>
      <c r="F52" s="43"/>
      <c r="G52" s="43"/>
      <c r="H52" s="43"/>
      <c r="I52" s="43"/>
      <c r="J52" s="43"/>
      <c r="K52" s="43"/>
      <c r="L52" s="43"/>
      <c r="M52" s="43"/>
      <c r="N52" s="43"/>
      <c r="O52" s="43"/>
      <c r="P52" s="43"/>
      <c r="Q52" s="43"/>
      <c r="R52" s="43"/>
      <c r="S52" s="43"/>
    </row>
    <row r="53" spans="1:19" x14ac:dyDescent="0.2">
      <c r="A53" s="91"/>
      <c r="B53" s="95" t="str">
        <f>'Parameters List'!B53</f>
        <v>NCRG(per rcvr,limited to 512)</v>
      </c>
      <c r="C53" s="67">
        <f>C$45*C$26</f>
        <v>378</v>
      </c>
      <c r="D53" s="67">
        <f>D$45*D$26</f>
        <v>228</v>
      </c>
      <c r="F53" s="43"/>
      <c r="G53" s="43"/>
      <c r="H53" s="43"/>
      <c r="I53" s="43"/>
      <c r="J53" s="43"/>
      <c r="K53" s="43"/>
      <c r="L53" s="43"/>
      <c r="M53" s="43"/>
      <c r="N53" s="43"/>
      <c r="O53" s="43"/>
      <c r="P53" s="43"/>
      <c r="Q53" s="43"/>
      <c r="R53" s="43"/>
      <c r="S53" s="43"/>
    </row>
    <row r="54" spans="1:19" x14ac:dyDescent="0.2">
      <c r="A54" s="91"/>
      <c r="B54" s="95" t="str">
        <f>'Parameters List'!B54</f>
        <v>NCRG(all rcvrs)</v>
      </c>
      <c r="C54" s="67">
        <f>C$53*$C$155</f>
        <v>1890</v>
      </c>
      <c r="D54" s="67">
        <f>D$53*$C$155</f>
        <v>1140</v>
      </c>
      <c r="F54" s="43"/>
      <c r="G54" s="43"/>
      <c r="H54" s="43"/>
      <c r="I54" s="43"/>
      <c r="J54" s="43"/>
      <c r="K54" s="43"/>
      <c r="L54" s="43"/>
      <c r="M54" s="43"/>
      <c r="N54" s="43"/>
      <c r="O54" s="43"/>
      <c r="P54" s="43"/>
      <c r="Q54" s="43"/>
      <c r="R54" s="43"/>
      <c r="S54" s="43"/>
    </row>
    <row r="55" spans="1:19" x14ac:dyDescent="0.2">
      <c r="A55" s="91"/>
      <c r="B55" s="95" t="str">
        <f>'Parameters List'!B55</f>
        <v>TCHIP (m)</v>
      </c>
      <c r="C55" s="67">
        <f>C46*$C$163*$C$174</f>
        <v>149.89622900000001</v>
      </c>
      <c r="D55" s="67">
        <f>D46*$C$163*$C$174</f>
        <v>299.79245800000001</v>
      </c>
      <c r="F55" s="43"/>
      <c r="G55" s="43"/>
      <c r="H55" s="43"/>
      <c r="I55" s="43"/>
      <c r="J55" s="43"/>
      <c r="K55" s="43"/>
      <c r="L55" s="43"/>
      <c r="M55" s="43"/>
      <c r="N55" s="43"/>
      <c r="O55" s="43"/>
      <c r="P55" s="43"/>
      <c r="Q55" s="43"/>
      <c r="R55" s="43"/>
      <c r="S55" s="43"/>
    </row>
    <row r="56" spans="1:19" x14ac:dyDescent="0.2">
      <c r="A56" s="91"/>
      <c r="B56" s="94" t="str">
        <f>'Parameters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'Parameters List'!B57</f>
        <v>Clutter Margin (m/s)</v>
      </c>
      <c r="C57" s="67">
        <f>IF($C$206+C$56&gt;0,$C$206+C$56+C$67*C$65*1,0)</f>
        <v>2.8646837382462333</v>
      </c>
      <c r="D57" s="67">
        <f>IF($C$206+D$56&gt;0,$C$206+D$56+D$67*D$65*1,0)</f>
        <v>2.1596162071641558</v>
      </c>
      <c r="F57" s="43"/>
      <c r="G57" s="43"/>
      <c r="H57" s="43"/>
      <c r="I57" s="43"/>
      <c r="J57" s="43"/>
      <c r="K57" s="43"/>
      <c r="L57" s="43"/>
      <c r="M57" s="43"/>
      <c r="N57" s="43"/>
      <c r="O57" s="43"/>
      <c r="P57" s="43"/>
      <c r="Q57" s="43"/>
      <c r="R57" s="43"/>
      <c r="S57" s="43"/>
    </row>
    <row r="58" spans="1:19" x14ac:dyDescent="0.2">
      <c r="A58" s="91" t="s">
        <v>78</v>
      </c>
      <c r="B58" s="94" t="str">
        <f>'Parameters List'!B58</f>
        <v>Min Velocity (m/s)</v>
      </c>
      <c r="C58" s="64">
        <v>1</v>
      </c>
      <c r="D58" s="64">
        <v>1</v>
      </c>
      <c r="F58" s="43"/>
      <c r="G58" s="43"/>
      <c r="H58" s="43"/>
      <c r="I58" s="43"/>
      <c r="J58" s="43"/>
      <c r="K58" s="43"/>
      <c r="L58" s="43"/>
      <c r="M58" s="43"/>
      <c r="N58" s="43"/>
      <c r="O58" s="43"/>
      <c r="P58" s="43"/>
      <c r="Q58" s="43"/>
      <c r="R58" s="43"/>
      <c r="S58" s="43"/>
    </row>
    <row r="59" spans="1:19" x14ac:dyDescent="0.2">
      <c r="A59" s="91" t="s">
        <v>81</v>
      </c>
      <c r="B59" s="94" t="str">
        <f>'Parameters List'!B59</f>
        <v>Max Velocity (m/s)</v>
      </c>
      <c r="C59" s="64">
        <v>80</v>
      </c>
      <c r="D59" s="64">
        <v>250</v>
      </c>
      <c r="F59" s="43"/>
      <c r="G59" s="43"/>
      <c r="H59" s="43"/>
      <c r="I59" s="43"/>
      <c r="J59" s="43"/>
      <c r="K59" s="43"/>
      <c r="L59" s="43"/>
      <c r="M59" s="43"/>
      <c r="N59" s="43"/>
      <c r="O59" s="43"/>
      <c r="P59" s="43"/>
      <c r="Q59" s="43"/>
      <c r="R59" s="43"/>
      <c r="S59" s="43"/>
    </row>
    <row r="60" spans="1:19" x14ac:dyDescent="0.2">
      <c r="A60" s="91"/>
      <c r="B60" s="68" t="str">
        <f>'Parameters List'!B60</f>
        <v>Loss Velocity (m/s)</v>
      </c>
      <c r="C60" s="67">
        <f>C$38*1000/C$30</f>
        <v>2467.7363587872719</v>
      </c>
      <c r="D60" s="67">
        <f>D$38*1000/D$30</f>
        <v>2467.7363587872719</v>
      </c>
      <c r="F60" s="43"/>
      <c r="G60" s="43"/>
      <c r="H60" s="43"/>
      <c r="I60" s="43"/>
      <c r="J60" s="43"/>
      <c r="K60" s="43"/>
      <c r="L60" s="43"/>
      <c r="M60" s="43"/>
      <c r="N60" s="43"/>
      <c r="O60" s="43"/>
      <c r="P60" s="43"/>
      <c r="Q60" s="43"/>
      <c r="R60" s="43"/>
      <c r="S60" s="43"/>
    </row>
    <row r="61" spans="1:19" x14ac:dyDescent="0.2">
      <c r="A61" s="92"/>
      <c r="B61" s="68" t="str">
        <f>'Parameters List'!B61</f>
        <v>Velocity Loss (dB)</v>
      </c>
      <c r="C61" s="67">
        <f>IF(C$59&lt;C$60, 0, IF(C$47=1, IF(C$59&lt;2*C$60, (C$59 / C$60)*0.5*$C$203, 10), IF(C$47=0, IF(C$59&lt;2*C$60, (C$59 / C$60)*$C$202-$C$202/2, 10), 10)))+(-20*LOG10(ABS(SIN(PI()*C$59*$C$168*C$36*10^-6)/(PI()*C$59*$C$168*C$36*10^-6))))</f>
        <v>1.9941574053708851E-4</v>
      </c>
      <c r="D61" s="67">
        <f>IF(D$59&lt;D$60, 0, IF(D$47=1, IF(D$59&lt;2*D$60, (D$59 / D$60)*0.5*$C$203, 10), IF(D$47=0, IF(D$59&lt;2*D$60, (D$59 / D$60)*$C$202-$C$202/2, 10), 10)))+(-20*LOG10(ABS(SIN(PI()*D$59*$C$168*D$36*10^-6)/(PI()*D$59*$C$168*D$36*10^-6))))</f>
        <v>0.33164302671726842</v>
      </c>
    </row>
    <row r="62" spans="1:19" x14ac:dyDescent="0.2">
      <c r="A62" s="92"/>
      <c r="B62" s="71" t="str">
        <f>'Parameters List'!B62</f>
        <v>Max Acceleration (m/s2)</v>
      </c>
      <c r="C62" s="64">
        <v>5</v>
      </c>
      <c r="D62" s="64">
        <v>0</v>
      </c>
    </row>
    <row r="63" spans="1:19" x14ac:dyDescent="0.2">
      <c r="A63" s="91"/>
      <c r="B63" s="68" t="str">
        <f>'Parameters List'!B63</f>
        <v>Loss Acceleration (m/s2)</v>
      </c>
      <c r="C63" s="67">
        <f>C$65*1000/C$30*$C$196</f>
        <v>5.5135634624905645</v>
      </c>
      <c r="D63" s="67">
        <f>D$65*1000/D$30*$C$196</f>
        <v>5.5135634624905645</v>
      </c>
      <c r="F63" s="43"/>
      <c r="G63" s="43"/>
      <c r="H63" s="43"/>
      <c r="I63" s="43"/>
      <c r="J63" s="43"/>
      <c r="K63" s="43"/>
      <c r="L63" s="43"/>
      <c r="M63" s="43"/>
      <c r="N63" s="43"/>
      <c r="O63" s="43"/>
      <c r="P63" s="43"/>
      <c r="Q63" s="43"/>
      <c r="R63" s="43"/>
      <c r="S63" s="43"/>
    </row>
    <row r="64" spans="1:19" x14ac:dyDescent="0.2">
      <c r="A64" s="92"/>
      <c r="B64" s="68" t="str">
        <f>'Parameters List'!B64</f>
        <v>Acceleration Loss (dB)</v>
      </c>
      <c r="C64" s="67">
        <f>IF( C$62 &gt;= C$63, C$62 / C$63 * $C$198, 0)</f>
        <v>0</v>
      </c>
      <c r="D64" s="67">
        <f>IF( D$62 &gt;= D$63, D$62 / D$63 * $C$198, 0)</f>
        <v>0</v>
      </c>
    </row>
    <row r="65" spans="1:19" x14ac:dyDescent="0.2">
      <c r="A65" s="91" t="s">
        <v>81</v>
      </c>
      <c r="B65" s="80" t="str">
        <f>'Parameters List'!B65</f>
        <v>fft2doppler (m/s per FFT bin)</v>
      </c>
      <c r="C65" s="70">
        <f>$C$106*1000/C$49/C$52/$C$168</f>
        <v>0.35253376554103888</v>
      </c>
      <c r="D65" s="70">
        <f>$C$106*1000/D$49/D$52/$C$168</f>
        <v>0.35253376554103888</v>
      </c>
      <c r="F65" s="43"/>
      <c r="G65" s="43"/>
      <c r="H65" s="43"/>
      <c r="I65" s="43"/>
      <c r="J65" s="43"/>
      <c r="K65" s="43"/>
      <c r="L65" s="43"/>
      <c r="M65" s="43"/>
      <c r="N65" s="43"/>
      <c r="O65" s="43"/>
      <c r="P65" s="43"/>
      <c r="Q65" s="43"/>
      <c r="R65" s="43"/>
      <c r="S65" s="43"/>
    </row>
    <row r="66" spans="1:19" x14ac:dyDescent="0.2">
      <c r="A66" s="91"/>
      <c r="B66" s="80" t="str">
        <f>'Parameters List'!B66</f>
        <v>Optimal Peak2Peak Seperation (m/s)</v>
      </c>
      <c r="C66" s="70">
        <f>(C$67+C$68+(C$67+1))*C$65</f>
        <v>8.8133441385259719</v>
      </c>
      <c r="D66" s="70">
        <f>(D$67+D$68+(D$67+1))*D$65</f>
        <v>7.4032090763618168</v>
      </c>
      <c r="F66" s="43"/>
      <c r="G66" s="43"/>
      <c r="H66" s="43"/>
      <c r="I66" s="43"/>
      <c r="J66" s="43"/>
      <c r="K66" s="43"/>
      <c r="L66" s="43"/>
      <c r="M66" s="43"/>
      <c r="N66" s="43"/>
      <c r="O66" s="43"/>
      <c r="P66" s="43"/>
      <c r="Q66" s="43"/>
      <c r="R66" s="43"/>
      <c r="S66" s="43"/>
    </row>
    <row r="67" spans="1:19" x14ac:dyDescent="0.2">
      <c r="A67" s="91"/>
      <c r="B67" s="95" t="str">
        <f>'Parameters List'!B67</f>
        <v># FFT bins of peak spreading (one side)</v>
      </c>
      <c r="C67" s="67">
        <f>ROUND((($C$200-1) / 2) * (C$52 / C$51) + (C$62*C$30/1000)/C$65,0)</f>
        <v>6</v>
      </c>
      <c r="D67" s="67">
        <f>ROUND((($C$200-1) / 2) * (D$52 / D$51) + (D$62*D$30/1000)/D$65,0)</f>
        <v>4</v>
      </c>
      <c r="F67" s="43"/>
      <c r="G67" s="43"/>
      <c r="H67" s="43"/>
      <c r="I67" s="43"/>
      <c r="J67" s="43"/>
      <c r="K67" s="43"/>
      <c r="L67" s="43"/>
      <c r="M67" s="43"/>
      <c r="N67" s="43"/>
      <c r="O67" s="43"/>
      <c r="P67" s="43"/>
      <c r="Q67" s="43"/>
      <c r="R67" s="43"/>
      <c r="S67" s="43"/>
    </row>
    <row r="68" spans="1:19" x14ac:dyDescent="0.2">
      <c r="A68" s="91"/>
      <c r="B68" s="95" t="str">
        <f>'Parameters List'!B68</f>
        <v># FFT bins for noise estimation (one side)</v>
      </c>
      <c r="C68" s="67">
        <f>ROUND((($C$201-1)/2*$C$197/$C$199)*(C$52/C$51),0)</f>
        <v>12</v>
      </c>
      <c r="D68" s="67">
        <f>ROUND((($C$201-1)/2*$C$197/$C$199)*(D$52/D$51),0)</f>
        <v>12</v>
      </c>
      <c r="F68" s="43"/>
      <c r="G68" s="43"/>
      <c r="H68" s="43"/>
      <c r="I68" s="43"/>
      <c r="J68" s="43"/>
      <c r="K68" s="43"/>
      <c r="L68" s="43"/>
      <c r="M68" s="43"/>
      <c r="N68" s="43"/>
      <c r="O68" s="43"/>
      <c r="P68" s="43"/>
      <c r="Q68" s="43"/>
      <c r="R68" s="43"/>
      <c r="S68" s="43"/>
    </row>
    <row r="69" spans="1:19" x14ac:dyDescent="0.2">
      <c r="A69" s="91"/>
      <c r="B69" s="95" t="str">
        <f>'Parameters List'!B69</f>
        <v># FFT bins of clutter margin (one side)</v>
      </c>
      <c r="C69" s="67">
        <f>C$57/C$65</f>
        <v>8.1259840000000008</v>
      </c>
      <c r="D69" s="67">
        <f>D$57/D$65</f>
        <v>6.1259840000000008</v>
      </c>
      <c r="F69" s="43"/>
      <c r="G69" s="43"/>
      <c r="H69" s="43"/>
      <c r="I69" s="43"/>
      <c r="J69" s="43"/>
      <c r="K69" s="43"/>
      <c r="L69" s="43"/>
      <c r="M69" s="43"/>
      <c r="N69" s="43"/>
      <c r="O69" s="43"/>
      <c r="P69" s="43"/>
      <c r="Q69" s="43"/>
      <c r="R69" s="43"/>
      <c r="S69" s="43"/>
    </row>
    <row r="70" spans="1:19" x14ac:dyDescent="0.2">
      <c r="A70" s="91"/>
      <c r="B70" s="95" t="str">
        <f>'Parameters List'!B70</f>
        <v># FFT bins to min velocity</v>
      </c>
      <c r="C70" s="67">
        <f>FLOOR(C$58/C$65,1)</f>
        <v>2</v>
      </c>
      <c r="D70" s="67">
        <f>FLOOR(D$58/D$65,1)</f>
        <v>2</v>
      </c>
      <c r="F70" s="43"/>
      <c r="G70" s="43"/>
      <c r="H70" s="43"/>
      <c r="I70" s="43"/>
      <c r="J70" s="43"/>
      <c r="K70" s="43"/>
      <c r="L70" s="43"/>
      <c r="M70" s="43"/>
      <c r="N70" s="43"/>
      <c r="O70" s="43"/>
      <c r="P70" s="43"/>
      <c r="Q70" s="43"/>
      <c r="R70" s="43"/>
      <c r="S70" s="43"/>
    </row>
    <row r="71" spans="1:19" x14ac:dyDescent="0.2">
      <c r="A71" s="91"/>
      <c r="B71" s="95" t="str">
        <f>'Parameters List'!B71</f>
        <v># FFT bins to max velocity</v>
      </c>
      <c r="C71" s="67">
        <f>CEILING(C$59/C$65,1)</f>
        <v>227</v>
      </c>
      <c r="D71" s="67">
        <f>CEILING(D$59/D$65,1)</f>
        <v>710</v>
      </c>
      <c r="F71" s="43"/>
      <c r="G71" s="43"/>
      <c r="H71" s="43"/>
      <c r="I71" s="43"/>
      <c r="J71" s="43"/>
      <c r="K71" s="43"/>
      <c r="L71" s="43"/>
      <c r="M71" s="43"/>
      <c r="N71" s="43"/>
      <c r="O71" s="43"/>
      <c r="P71" s="43"/>
      <c r="Q71" s="43"/>
      <c r="R71" s="43"/>
      <c r="S71" s="43"/>
    </row>
    <row r="72" spans="1:19" x14ac:dyDescent="0.2">
      <c r="A72" s="91" t="s">
        <v>81</v>
      </c>
      <c r="B72" s="95" t="str">
        <f>'Parameters List'!B72</f>
        <v>Noise Mask (example: '-13,-4,4,13)</v>
      </c>
      <c r="C72" s="67" t="str">
        <f>CONCATENATE(TEXT(-C$68-C$67,"0"),",",TEXT(-C$67-1,"0"),",",TEXT(C$67+1,"0"),",",TEXT(C$68+C$67,"0"))</f>
        <v>-18,-7,7,18</v>
      </c>
      <c r="D72" s="67" t="str">
        <f>CONCATENATE(TEXT(-D$68-D$67,"0"),",",TEXT(-D$67-1,"0"),",",TEXT(D$67+1,"0"),",",TEXT(D$68+D$67,"0"))</f>
        <v>-16,-5,5,16</v>
      </c>
      <c r="F72" s="43"/>
      <c r="G72" s="43"/>
      <c r="H72" s="43"/>
      <c r="I72" s="43"/>
      <c r="J72" s="43"/>
      <c r="K72" s="43"/>
      <c r="L72" s="43"/>
      <c r="M72" s="43"/>
      <c r="N72" s="43"/>
      <c r="O72" s="43"/>
      <c r="P72" s="43"/>
      <c r="Q72" s="43"/>
      <c r="R72" s="43"/>
      <c r="S72" s="43"/>
    </row>
    <row r="73" spans="1:19" x14ac:dyDescent="0.2">
      <c r="A73" s="91" t="s">
        <v>81</v>
      </c>
      <c r="B73" s="94" t="str">
        <f>'Parameters List'!B73</f>
        <v>Options (see Options List sheet)</v>
      </c>
      <c r="C73" s="101"/>
      <c r="D73" s="101"/>
      <c r="F73" s="43"/>
      <c r="G73" s="43"/>
      <c r="H73" s="43"/>
      <c r="I73" s="43"/>
      <c r="J73" s="43"/>
      <c r="K73" s="43"/>
      <c r="L73" s="43"/>
      <c r="M73" s="43"/>
      <c r="N73" s="43"/>
      <c r="O73" s="43"/>
      <c r="P73" s="43"/>
      <c r="Q73" s="43"/>
      <c r="R73" s="43"/>
      <c r="S73" s="43"/>
    </row>
    <row r="74" spans="1:19" x14ac:dyDescent="0.2">
      <c r="A74" s="91" t="s">
        <v>81</v>
      </c>
      <c r="B74" s="94" t="str">
        <f>'Parameters List'!B74</f>
        <v>SNR Threshold (dB)</v>
      </c>
      <c r="C74" s="73">
        <v>12</v>
      </c>
      <c r="D74" s="73">
        <v>12</v>
      </c>
      <c r="F74" s="43"/>
      <c r="G74" s="43"/>
      <c r="H74" s="43"/>
      <c r="I74" s="43"/>
      <c r="J74" s="43"/>
      <c r="K74" s="43"/>
      <c r="L74" s="43"/>
      <c r="M74" s="43"/>
      <c r="N74" s="43"/>
      <c r="O74" s="43"/>
      <c r="P74" s="43"/>
      <c r="Q74" s="43"/>
      <c r="R74" s="43"/>
      <c r="S74" s="43"/>
    </row>
    <row r="75" spans="1:19" x14ac:dyDescent="0.2">
      <c r="A75" s="91"/>
      <c r="B75" s="80" t="str">
        <f>'Parameters List'!B75</f>
        <v>Probability of False Alarm</v>
      </c>
      <c r="C75" s="70">
        <f>pf_PD_PFA_CFAR("pfa", C$74, C$120, C$121, C$68*2, 1)</f>
        <v>5.1888289024436828E-6</v>
      </c>
      <c r="D75" s="70">
        <f>pf_PD_PFA_CFAR("pfa", D$74, D$120, D$121, D$68*2, 1)</f>
        <v>5.1888289024436828E-6</v>
      </c>
      <c r="F75" s="43"/>
      <c r="G75" s="43"/>
      <c r="H75" s="43"/>
      <c r="I75" s="43"/>
      <c r="J75" s="43"/>
      <c r="K75" s="43"/>
      <c r="L75" s="43"/>
      <c r="M75" s="43"/>
      <c r="N75" s="43"/>
      <c r="O75" s="43"/>
      <c r="P75" s="43"/>
      <c r="Q75" s="43"/>
      <c r="R75" s="43"/>
      <c r="S75" s="43"/>
    </row>
    <row r="76" spans="1:19" x14ac:dyDescent="0.2">
      <c r="A76" s="91"/>
      <c r="B76" s="80" t="str">
        <f>'Parameters List'!B76</f>
        <v>Probability of False Alarm per CPI</v>
      </c>
      <c r="C76" s="70">
        <f>C$75*C$52*C$53</f>
        <v>0.25105629761583514</v>
      </c>
      <c r="D76" s="70">
        <f>D$75*D$52*D$53</f>
        <v>0.15143078268891644</v>
      </c>
      <c r="F76" s="43"/>
      <c r="G76" s="43"/>
      <c r="H76" s="43"/>
      <c r="I76" s="43"/>
      <c r="J76" s="43"/>
      <c r="K76" s="43"/>
      <c r="L76" s="43"/>
      <c r="M76" s="43"/>
      <c r="N76" s="43"/>
      <c r="O76" s="43"/>
      <c r="P76" s="43"/>
      <c r="Q76" s="43"/>
      <c r="R76" s="43"/>
      <c r="S76" s="43"/>
    </row>
    <row r="77" spans="1:19" x14ac:dyDescent="0.2">
      <c r="A77" s="91"/>
      <c r="B77" s="80" t="str">
        <f>'Parameters List'!B77</f>
        <v>Probability of False Alarm per SEC</v>
      </c>
      <c r="C77" s="70">
        <f>C$76/(C$30/1000)</f>
        <v>2.0665655095603328</v>
      </c>
      <c r="D77" s="70">
        <f>D$76/(D$30/1000)</f>
        <v>1.2464998311633755</v>
      </c>
      <c r="F77" s="43"/>
      <c r="G77" s="43"/>
      <c r="H77" s="43"/>
      <c r="I77" s="43"/>
      <c r="J77" s="43"/>
      <c r="K77" s="43"/>
      <c r="L77" s="43"/>
      <c r="M77" s="43"/>
      <c r="N77" s="43"/>
      <c r="O77" s="43"/>
      <c r="P77" s="43"/>
      <c r="Q77" s="43"/>
      <c r="R77" s="43"/>
      <c r="S77" s="43"/>
    </row>
    <row r="78" spans="1:19" x14ac:dyDescent="0.2">
      <c r="A78" s="91"/>
      <c r="B78" s="94" t="str">
        <f>'Parameters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'Parameters List'!B79</f>
        <v>STC Init Range (m)</v>
      </c>
      <c r="C79" s="70">
        <f>10^((40*LOG10(C$44)-(C$78-C$99)) / 40)</f>
        <v>2125.1809794048572</v>
      </c>
      <c r="D79" s="70">
        <f>10^((40*LOG10(D$44)-(D$78-D$99)) / 40)</f>
        <v>3959.0926766227594</v>
      </c>
      <c r="F79" s="43"/>
      <c r="G79" s="43"/>
      <c r="H79" s="43"/>
      <c r="I79" s="43"/>
      <c r="J79" s="43"/>
      <c r="K79" s="43"/>
      <c r="L79" s="43"/>
      <c r="M79" s="43"/>
      <c r="N79" s="43"/>
      <c r="O79" s="43"/>
      <c r="P79" s="43"/>
      <c r="Q79" s="43"/>
      <c r="R79" s="43"/>
      <c r="S79" s="43"/>
    </row>
    <row r="80" spans="1:19" x14ac:dyDescent="0.2">
      <c r="A80" s="91"/>
      <c r="B80" s="94" t="str">
        <f>'Parameters List'!B80</f>
        <v>Tapered Array (0/1)</v>
      </c>
      <c r="C80" s="101">
        <v>0</v>
      </c>
      <c r="D80" s="101">
        <v>0</v>
      </c>
      <c r="F80" s="43"/>
      <c r="G80" s="43"/>
      <c r="H80" s="43"/>
      <c r="I80" s="43"/>
      <c r="J80" s="43"/>
      <c r="K80" s="43"/>
      <c r="L80" s="43"/>
      <c r="M80" s="43"/>
      <c r="N80" s="43"/>
      <c r="O80" s="43"/>
      <c r="P80" s="43"/>
      <c r="Q80" s="43"/>
      <c r="R80" s="43"/>
      <c r="S80" s="43"/>
    </row>
    <row r="81" spans="1:19" x14ac:dyDescent="0.2">
      <c r="A81" s="91"/>
      <c r="B81" s="94" t="str">
        <f>'Parameters List'!B81</f>
        <v>AGC Set (1-6)</v>
      </c>
      <c r="C81" s="101">
        <v>3</v>
      </c>
      <c r="D81" s="101">
        <v>3</v>
      </c>
      <c r="F81" s="43"/>
      <c r="G81" s="43"/>
      <c r="H81" s="43"/>
      <c r="I81" s="43"/>
      <c r="J81" s="43"/>
      <c r="K81" s="43"/>
      <c r="L81" s="43"/>
      <c r="M81" s="43"/>
      <c r="N81" s="43"/>
      <c r="O81" s="43"/>
      <c r="P81" s="43"/>
      <c r="Q81" s="43"/>
      <c r="R81" s="43"/>
      <c r="S81" s="43"/>
    </row>
    <row r="82" spans="1:19" x14ac:dyDescent="0.2">
      <c r="A82" s="91"/>
      <c r="B82" s="95" t="str">
        <f>'Parameters List'!B82</f>
        <v>RF AGC (dB) - 1st Rx</v>
      </c>
      <c r="C82" s="67">
        <f>VLOOKUP(C$81,'AGC Set Table'!$A$3:$K$9,2,FALSE)</f>
        <v>0</v>
      </c>
      <c r="D82" s="67">
        <f>VLOOKUP(D$81,'AGC Set Table'!$A$3:$K$9,2,FALSE)</f>
        <v>0</v>
      </c>
      <c r="F82" s="43"/>
      <c r="G82" s="43"/>
      <c r="H82" s="43"/>
      <c r="I82" s="43"/>
      <c r="J82" s="43"/>
      <c r="K82" s="43"/>
      <c r="L82" s="43"/>
      <c r="M82" s="43"/>
      <c r="N82" s="43"/>
      <c r="O82" s="43"/>
      <c r="P82" s="43"/>
      <c r="Q82" s="43"/>
      <c r="R82" s="43"/>
      <c r="S82" s="43"/>
    </row>
    <row r="83" spans="1:19" x14ac:dyDescent="0.2">
      <c r="A83" s="91"/>
      <c r="B83" s="95" t="str">
        <f>'Parameters List'!B83</f>
        <v>IF AGC (dB) - 1st Rx</v>
      </c>
      <c r="C83" s="67">
        <f>VLOOKUP(C$81,'AGC Set Table'!$A$3:$K$9,3,FALSE)</f>
        <v>25</v>
      </c>
      <c r="D83" s="67">
        <f>VLOOKUP(D$81,'AGC Set Table'!$A$3:$K$9,3,FALSE)</f>
        <v>25</v>
      </c>
      <c r="F83" s="43"/>
      <c r="G83" s="43"/>
      <c r="H83" s="43"/>
      <c r="I83" s="43"/>
      <c r="J83" s="43"/>
      <c r="K83" s="43"/>
      <c r="L83" s="43"/>
      <c r="M83" s="43"/>
      <c r="N83" s="43"/>
      <c r="O83" s="43"/>
      <c r="P83" s="43"/>
      <c r="Q83" s="43"/>
      <c r="R83" s="43"/>
      <c r="S83" s="43"/>
    </row>
    <row r="84" spans="1:19" x14ac:dyDescent="0.2">
      <c r="A84" s="91"/>
      <c r="B84" s="95" t="str">
        <f>'Parameters List'!B84</f>
        <v>RF AGC (dB) - Ref Rx</v>
      </c>
      <c r="C84" s="67">
        <f>VLOOKUP(C$81,'AGC Set Table'!$A$3:$K$9,8,FALSE)</f>
        <v>0</v>
      </c>
      <c r="D84" s="67">
        <f>VLOOKUP(D$81,'AGC Set Table'!$A$3:$K$9,8,FALSE)</f>
        <v>0</v>
      </c>
      <c r="F84" s="43"/>
      <c r="G84" s="43"/>
      <c r="H84" s="43"/>
      <c r="I84" s="43"/>
      <c r="J84" s="43"/>
      <c r="K84" s="43"/>
      <c r="L84" s="43"/>
      <c r="M84" s="43"/>
      <c r="N84" s="43"/>
      <c r="O84" s="43"/>
      <c r="P84" s="43"/>
      <c r="Q84" s="43"/>
      <c r="R84" s="43"/>
      <c r="S84" s="43"/>
    </row>
    <row r="85" spans="1:19" x14ac:dyDescent="0.2">
      <c r="A85" s="91"/>
      <c r="B85" s="95" t="str">
        <f>'Parameters List'!B85</f>
        <v>IF AGC (dB) - Ref Rx</v>
      </c>
      <c r="C85" s="67">
        <f>VLOOKUP(C$81,'AGC Set Table'!$A$3:$K$9,9,FALSE)</f>
        <v>5</v>
      </c>
      <c r="D85" s="67">
        <f>VLOOKUP(D$81,'AGC Set Table'!$A$3:$K$9,9,FALSE)</f>
        <v>5</v>
      </c>
      <c r="F85" s="43"/>
      <c r="G85" s="43"/>
      <c r="H85" s="43"/>
      <c r="I85" s="43"/>
      <c r="J85" s="43"/>
      <c r="K85" s="43"/>
      <c r="L85" s="43"/>
      <c r="M85" s="43"/>
      <c r="N85" s="43"/>
      <c r="O85" s="43"/>
      <c r="P85" s="43"/>
      <c r="Q85" s="43"/>
      <c r="R85" s="43"/>
      <c r="S85" s="43"/>
    </row>
    <row r="86" spans="1:19" x14ac:dyDescent="0.2">
      <c r="A86" s="91"/>
      <c r="B86" s="95" t="str">
        <f>'Parameters List'!B86</f>
        <v>NF @ADCout (dB) - 1st Rx</v>
      </c>
      <c r="C86" s="67">
        <f>VLOOKUP(C$81,'AGC Set Table'!$A$3:$K$9,IF(C$80=0,6,IF(C$80=1,7)),FALSE)</f>
        <v>4.1399999999999997</v>
      </c>
      <c r="D86" s="67">
        <f>VLOOKUP(D$81,'AGC Set Table'!$A$3:$K$9,IF(D$80=0,6,IF(D$80=1,7)),FALSE)</f>
        <v>4.1399999999999997</v>
      </c>
      <c r="F86" s="43"/>
      <c r="G86" s="43"/>
      <c r="H86" s="43"/>
      <c r="I86" s="43"/>
      <c r="J86" s="43"/>
      <c r="K86" s="43"/>
      <c r="L86" s="43"/>
      <c r="M86" s="43"/>
      <c r="N86" s="43"/>
      <c r="O86" s="43"/>
      <c r="P86" s="43"/>
      <c r="Q86" s="43"/>
      <c r="R86" s="43"/>
      <c r="S86" s="43"/>
    </row>
    <row r="87" spans="1:19" x14ac:dyDescent="0.2">
      <c r="A87" s="91"/>
      <c r="B87" s="95" t="str">
        <f>'Parameters List'!B87</f>
        <v>NF @ADCout (dB) - Ref Rx</v>
      </c>
      <c r="C87" s="67">
        <f>VLOOKUP(C$81,'AGC Set Table'!$A$3:$K$9,11,FALSE)</f>
        <v>2.5299999999999998</v>
      </c>
      <c r="D87" s="67">
        <f>VLOOKUP(D$81,'AGC Set Table'!$A$3:$K$9,11,FALSE)</f>
        <v>2.5299999999999998</v>
      </c>
      <c r="F87" s="43"/>
      <c r="G87" s="43"/>
      <c r="H87" s="43"/>
      <c r="I87" s="43"/>
      <c r="J87" s="43"/>
      <c r="K87" s="43"/>
      <c r="L87" s="43"/>
      <c r="M87" s="43"/>
      <c r="N87" s="43"/>
      <c r="O87" s="43"/>
      <c r="P87" s="43"/>
      <c r="Q87" s="43"/>
      <c r="R87" s="43"/>
      <c r="S87" s="43"/>
    </row>
    <row r="88" spans="1:19" x14ac:dyDescent="0.2">
      <c r="A88" s="91" t="s">
        <v>81</v>
      </c>
      <c r="B88" s="94" t="str">
        <f>'Parameters List'!B88</f>
        <v>RCS (m^2)</v>
      </c>
      <c r="C88" s="74">
        <v>3</v>
      </c>
      <c r="D88" s="74">
        <v>3</v>
      </c>
      <c r="F88" s="43"/>
      <c r="G88" s="43"/>
      <c r="H88" s="43"/>
      <c r="I88" s="43"/>
      <c r="J88" s="43"/>
      <c r="K88" s="43"/>
      <c r="L88" s="43"/>
      <c r="M88" s="43"/>
      <c r="N88" s="43"/>
      <c r="O88" s="43"/>
      <c r="P88" s="43"/>
      <c r="Q88" s="43"/>
      <c r="R88" s="43"/>
      <c r="S88" s="43"/>
    </row>
    <row r="89" spans="1:19" x14ac:dyDescent="0.2">
      <c r="A89" s="91"/>
      <c r="B89" s="95" t="str">
        <f>'Parameters List'!B89</f>
        <v>σ(dB/m2)</v>
      </c>
      <c r="C89" s="67">
        <f>10*LOG10(C$88)</f>
        <v>4.7712125471966242</v>
      </c>
      <c r="D89" s="67">
        <f>10*LOG10(D$88)</f>
        <v>4.7712125471966242</v>
      </c>
      <c r="F89" s="43"/>
      <c r="G89" s="43"/>
      <c r="H89" s="43"/>
      <c r="I89" s="43"/>
      <c r="J89" s="43"/>
      <c r="K89" s="43"/>
      <c r="L89" s="43"/>
      <c r="M89" s="43"/>
      <c r="N89" s="43"/>
      <c r="O89" s="43"/>
      <c r="P89" s="43"/>
      <c r="Q89" s="43"/>
      <c r="R89" s="43"/>
      <c r="S89" s="43"/>
    </row>
    <row r="90" spans="1:19" x14ac:dyDescent="0.2">
      <c r="A90" s="91"/>
      <c r="B90" s="80" t="str">
        <f>'Parameters List'!B90</f>
        <v>Tgt min range @ADCin (dBm) - Ref. Rx</v>
      </c>
      <c r="C90" s="70">
        <f>$C$185+$C$186+$C$188+C$89+$C$189-$C$190-40*LOG10(C$43)+$C$171-C$84-C$85-$C$179*(C$80=1)</f>
        <v>-17.367181184635598</v>
      </c>
      <c r="D90" s="70">
        <f>$C$185+$C$186+$C$188+D$89+$C$189-$C$190-40*LOG10(D$43)+$C$171-D$84-D$85-$C$179*(D$80=1)</f>
        <v>-63.209022317376025</v>
      </c>
      <c r="F90" s="43"/>
      <c r="G90" s="43"/>
      <c r="H90" s="43"/>
      <c r="I90" s="43"/>
      <c r="J90" s="43"/>
      <c r="K90" s="43"/>
      <c r="L90" s="43"/>
      <c r="M90" s="43"/>
      <c r="N90" s="43"/>
      <c r="O90" s="43"/>
      <c r="P90" s="43"/>
      <c r="Q90" s="43"/>
      <c r="R90" s="43"/>
      <c r="S90" s="43"/>
    </row>
    <row r="91" spans="1:19" x14ac:dyDescent="0.2">
      <c r="A91" s="91"/>
      <c r="B91" s="80" t="str">
        <f>'Parameters List'!B91</f>
        <v>Tgt max range @ADCin (dBm) - Ref. Rx</v>
      </c>
      <c r="C91" s="70">
        <f>$C$185+$C$186+$C$188+C$89+$C$189-$C$190-40*LOG10(C$44)+$C$171-C$84-C$85-$C$179*(C$80=1)</f>
        <v>-63.212302611765125</v>
      </c>
      <c r="D91" s="70">
        <f>$C$185+$C$186+$C$188+D$89+$C$189-$C$190-40*LOG10(D$44)+$C$171-D$84-D$85-$C$179*(D$80=1)</f>
        <v>-85.838578677072974</v>
      </c>
      <c r="F91" s="43"/>
      <c r="G91" s="43"/>
      <c r="H91" s="43"/>
      <c r="I91" s="43"/>
      <c r="J91" s="43"/>
      <c r="K91" s="43"/>
      <c r="L91" s="43"/>
      <c r="M91" s="43"/>
      <c r="N91" s="43"/>
      <c r="O91" s="43"/>
      <c r="P91" s="43"/>
      <c r="Q91" s="43"/>
      <c r="R91" s="43"/>
      <c r="S91" s="43"/>
    </row>
    <row r="92" spans="1:19" x14ac:dyDescent="0.2">
      <c r="A92" s="91"/>
      <c r="B92" s="95" t="str">
        <f>'Parameters List'!B92</f>
        <v>1st Rx Noise @ADCout (dBm/bin)</v>
      </c>
      <c r="C92" s="67">
        <f>C$86+$C$173+$C$171-C$84-C$85+10*LOG10($C$175*10^6)-$C$178*(C$80=1)+10*LOG10($C$156/$C$157)</f>
        <v>-34.839400086720389</v>
      </c>
      <c r="D92" s="67">
        <f>D$86+$C$173+$C$171-D$84-D$85+10*LOG10($C$175*10^6)-$C$178*(D$80=1)+10*LOG10($C$156/$C$157)</f>
        <v>-34.839400086720389</v>
      </c>
      <c r="F92" s="43"/>
      <c r="G92" s="43"/>
      <c r="H92" s="43"/>
      <c r="I92" s="43"/>
      <c r="J92" s="43"/>
      <c r="K92" s="43"/>
      <c r="L92" s="43"/>
      <c r="M92" s="43"/>
      <c r="N92" s="43"/>
      <c r="O92" s="43"/>
      <c r="P92" s="43"/>
      <c r="Q92" s="43"/>
      <c r="R92" s="43"/>
      <c r="S92" s="43"/>
    </row>
    <row r="93" spans="1:19" x14ac:dyDescent="0.2">
      <c r="A93" s="91"/>
      <c r="B93" s="95" t="str">
        <f>'Parameters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'Parameters List'!B94</f>
        <v>Total Noise @ADCout (dBm/bin)</v>
      </c>
      <c r="C94" s="67">
        <f>10*LOG10(10^((C$93 + 10*LOG10($C$157))/10) + 10^((C$92 + 10*LOG10(($C$182-$C$157) / $C$156))/10))+ (10*LOG10(C$34) - C$35) * (C$34&gt;1)</f>
        <v>-28.74449759340315</v>
      </c>
      <c r="D94" s="67">
        <f>10*LOG10(10^((D$93 + 10*LOG10($C$157))/10) + 10^((D$92 + 10*LOG10(($C$182-$C$157) / $C$156))/10))+ (10*LOG10(D$34) - D$35) * (D$34&gt;1)</f>
        <v>-28.74449759340315</v>
      </c>
      <c r="F94" s="43"/>
      <c r="G94" s="43"/>
      <c r="H94" s="43"/>
      <c r="I94" s="43"/>
      <c r="J94" s="43"/>
      <c r="K94" s="43"/>
      <c r="L94" s="43"/>
      <c r="M94" s="43"/>
      <c r="N94" s="43"/>
      <c r="O94" s="43"/>
      <c r="P94" s="43"/>
      <c r="Q94" s="43"/>
      <c r="R94" s="43"/>
      <c r="S94" s="43"/>
    </row>
    <row r="95" spans="1:19" x14ac:dyDescent="0.2">
      <c r="A95" s="91" t="s">
        <v>81</v>
      </c>
      <c r="B95" s="95" t="str">
        <f>'Parameters List'!B95</f>
        <v>Rx Processing Gain (dB)</v>
      </c>
      <c r="C95" s="67">
        <f>10*LOG10(C$46/2 * C$48 * C$51 * C$49) - $C$195</f>
        <v>37.052999566398121</v>
      </c>
      <c r="D95" s="67">
        <f>10*LOG10(D$46/2 * D$48 * D$51 * D$49) - $C$195</f>
        <v>48.192433089466491</v>
      </c>
      <c r="F95" s="43"/>
      <c r="G95" s="43"/>
      <c r="H95" s="43"/>
      <c r="I95" s="43"/>
      <c r="J95" s="43"/>
      <c r="K95" s="43"/>
      <c r="L95" s="43"/>
      <c r="M95" s="43"/>
      <c r="N95" s="43"/>
      <c r="O95" s="43"/>
      <c r="P95" s="43"/>
      <c r="Q95" s="43"/>
      <c r="R95" s="43"/>
      <c r="S95" s="43"/>
    </row>
    <row r="96" spans="1:19" x14ac:dyDescent="0.2">
      <c r="A96" s="91"/>
      <c r="B96" s="95" t="str">
        <f>'Parameters List'!B96</f>
        <v>Total Processing Gain (dB)</v>
      </c>
      <c r="C96" s="67">
        <f>C$95 + 20*LOG10($C$182) + (20*LOG10(C$34) - 2 * C$35) * (C$34&gt;1)-$C$179*(C$80=1)-$C$177*(C$80=1)</f>
        <v>69.30867670079283</v>
      </c>
      <c r="D96" s="67">
        <f>D$95 + 20*LOG10($C$182) + (20*LOG10(D$34) - 2 * D$35) * (D$34&gt;1)-$C$179*(D$80=1)-$C$177*(D$80=1)</f>
        <v>80.448110223861192</v>
      </c>
      <c r="F96" s="43"/>
      <c r="G96" s="43"/>
      <c r="H96" s="43"/>
      <c r="I96" s="43"/>
      <c r="J96" s="43"/>
      <c r="K96" s="43"/>
      <c r="L96" s="43"/>
      <c r="M96" s="43"/>
      <c r="N96" s="43"/>
      <c r="O96" s="43"/>
      <c r="P96" s="43"/>
      <c r="Q96" s="43"/>
      <c r="R96" s="43"/>
      <c r="S96" s="43"/>
    </row>
    <row r="97" spans="1:19" x14ac:dyDescent="0.2">
      <c r="A97" s="92"/>
      <c r="B97" s="95" t="str">
        <f>'Parameters List'!B97</f>
        <v>Total Loss (dB)</v>
      </c>
      <c r="C97" s="67">
        <f>$C$191 + ($C$202*(C$47=0)+$C$203*(C$47=1)+$C$198) + C$61 + C$64</f>
        <v>1.6629844157405371</v>
      </c>
      <c r="D97" s="67">
        <f>$C$191 + ($C$202*(D$47=0)+$C$203*(D$47=1)+$C$198) + D$61 + D$64</f>
        <v>1.9944280267172685</v>
      </c>
    </row>
    <row r="98" spans="1:19" x14ac:dyDescent="0.2">
      <c r="A98" s="91"/>
      <c r="B98" s="80" t="str">
        <f>'Parameters List'!B98</f>
        <v>SNR min range (dB)</v>
      </c>
      <c r="C98" s="70">
        <f>C$90+C$96-C$94-C$97</f>
        <v>79.023008693819847</v>
      </c>
      <c r="D98" s="70">
        <f>D$90+D$96-D$94-D$97</f>
        <v>43.989157473171055</v>
      </c>
      <c r="F98" s="43"/>
      <c r="G98" s="43"/>
      <c r="H98" s="43"/>
      <c r="I98" s="43"/>
      <c r="J98" s="43"/>
      <c r="K98" s="43"/>
      <c r="L98" s="43"/>
      <c r="M98" s="43"/>
      <c r="N98" s="43"/>
      <c r="O98" s="43"/>
      <c r="P98" s="43"/>
      <c r="Q98" s="43"/>
      <c r="R98" s="43"/>
      <c r="S98" s="43"/>
    </row>
    <row r="99" spans="1:19" x14ac:dyDescent="0.2">
      <c r="A99" s="91"/>
      <c r="B99" s="80" t="str">
        <f>'Parameters List'!B99</f>
        <v>SNR max range (dB)</v>
      </c>
      <c r="C99" s="70">
        <f>C$91+C$96-C$94-C$97</f>
        <v>33.17788726669032</v>
      </c>
      <c r="D99" s="70">
        <f>D$91+D$96-D$94-D$97</f>
        <v>21.359601113474099</v>
      </c>
      <c r="F99" s="43"/>
      <c r="G99" s="43"/>
      <c r="H99" s="43"/>
      <c r="I99" s="43"/>
      <c r="J99" s="43"/>
      <c r="K99" s="43"/>
      <c r="L99" s="43"/>
      <c r="M99" s="43"/>
      <c r="N99" s="43"/>
      <c r="O99" s="43"/>
      <c r="P99" s="43"/>
      <c r="Q99" s="43"/>
      <c r="R99" s="43"/>
      <c r="S99" s="43"/>
    </row>
    <row r="100" spans="1:19" x14ac:dyDescent="0.2">
      <c r="A100" s="91"/>
      <c r="B100" s="95" t="str">
        <f>'Parameters List'!B100</f>
        <v>Duty cycle per beam</v>
      </c>
      <c r="C100" s="67">
        <f>C$36/$C$104</f>
        <v>2.1072595090085343E-3</v>
      </c>
      <c r="D100" s="67">
        <f>D$36/$C$104</f>
        <v>2.7394373617110945E-2</v>
      </c>
      <c r="F100" s="43"/>
      <c r="G100" s="43"/>
      <c r="H100" s="43"/>
      <c r="I100" s="43"/>
      <c r="J100" s="43"/>
      <c r="K100" s="43"/>
      <c r="L100" s="43"/>
      <c r="M100" s="43"/>
      <c r="N100" s="43"/>
      <c r="O100" s="43"/>
      <c r="P100" s="43"/>
      <c r="Q100" s="43"/>
      <c r="R100" s="43"/>
      <c r="S100" s="43"/>
    </row>
    <row r="101" spans="1:19" x14ac:dyDescent="0.2">
      <c r="A101" s="91"/>
      <c r="B101" s="95" t="str">
        <f>'Parameters List'!B101</f>
        <v>Buffer size (KB)</v>
      </c>
      <c r="C101" s="67">
        <f>MROUND((IF(C$21, $C$210*$C$155, C$54)*C$51*8+64)/1024,4)</f>
        <v>1892</v>
      </c>
      <c r="D101" s="67">
        <f>MROUND((IF(D$21, $C$210*$C$155, D$54)*D$51*8+64)/1024,4)</f>
        <v>1140</v>
      </c>
      <c r="F101" s="43"/>
      <c r="G101" s="43"/>
      <c r="H101" s="43"/>
      <c r="I101" s="43"/>
      <c r="J101" s="43"/>
      <c r="K101" s="43"/>
      <c r="L101" s="43"/>
      <c r="M101" s="43"/>
      <c r="N101" s="43"/>
      <c r="O101" s="43"/>
      <c r="P101" s="43"/>
      <c r="Q101" s="43"/>
      <c r="R101" s="43"/>
      <c r="S101" s="43"/>
    </row>
    <row r="102" spans="1:19" x14ac:dyDescent="0.2">
      <c r="A102" s="91"/>
      <c r="B102" s="95" t="str">
        <f>'Parameters List'!B102</f>
        <v>PCIe Rate MB/s</v>
      </c>
      <c r="C102" s="67">
        <f>C$101*1024/C$30/1024</f>
        <v>15.573964808766199</v>
      </c>
      <c r="D102" s="67">
        <f>D$101*1024/D$30/1024</f>
        <v>9.3838900010536292</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'Parameters List'!B104</f>
        <v>Total PRI (μs)</v>
      </c>
      <c r="C104" s="77">
        <f>(SUMIF($E$13:$AJ$13,"=1",$E$18:$AJ$18)*C$46+SUMIF($E$13:$AJ$13,"=2",$E$18:$AJ$18)*D$46)*$C$174+$C$208+COUNTIFS(E$13:AJ$13,"=1",E$15:AJ$15,"=1") * C$32 + COUNTIFS(E$13:AJ$13,"=1",E$15:AJ$15,"=2") * C$33 + COUNTIFS(E$13:AJ$13,"=2",E$15:AJ$15,"=1") * D$32 + COUNTIFS(E$13:AJ$13,"=2",E$15:AJ$15,"=2") * D$33</f>
        <v>949.1</v>
      </c>
      <c r="F104" s="43"/>
      <c r="G104" s="43"/>
      <c r="H104" s="43"/>
      <c r="I104" s="43"/>
      <c r="J104" s="43"/>
      <c r="K104" s="43"/>
      <c r="L104" s="43"/>
      <c r="M104" s="43"/>
      <c r="N104" s="43"/>
      <c r="O104" s="43"/>
      <c r="P104" s="43"/>
      <c r="Q104" s="43"/>
      <c r="R104" s="43"/>
      <c r="S104" s="43"/>
    </row>
    <row r="105" spans="1:19" x14ac:dyDescent="0.2">
      <c r="B105" s="76" t="str">
        <f>'Parameters List'!B105</f>
        <v>Unambiguous Range (km)</v>
      </c>
      <c r="C105" s="77">
        <f>$C$104*$C$163/1000</f>
        <v>142.26651094390002</v>
      </c>
      <c r="F105" s="43"/>
      <c r="G105" s="43"/>
      <c r="H105" s="43"/>
      <c r="I105" s="43"/>
      <c r="J105" s="43"/>
      <c r="K105" s="43"/>
      <c r="L105" s="43"/>
      <c r="M105" s="43"/>
      <c r="N105" s="43"/>
      <c r="O105" s="43"/>
      <c r="P105" s="43"/>
      <c r="Q105" s="43"/>
      <c r="R105" s="43"/>
      <c r="S105" s="43"/>
    </row>
    <row r="106" spans="1:19" x14ac:dyDescent="0.2">
      <c r="B106" s="76" t="str">
        <f>'Parameters List'!B106</f>
        <v>Total PRF (kHz)</v>
      </c>
      <c r="C106" s="77">
        <f>1000/$C$104</f>
        <v>1.0536297545042672</v>
      </c>
      <c r="F106" s="43"/>
      <c r="G106" s="43"/>
      <c r="H106" s="43"/>
      <c r="I106" s="43"/>
      <c r="J106" s="43"/>
      <c r="K106" s="43"/>
      <c r="L106" s="43"/>
      <c r="M106" s="43"/>
      <c r="N106" s="43"/>
      <c r="O106" s="43"/>
      <c r="P106" s="43"/>
      <c r="Q106" s="43"/>
      <c r="R106" s="43"/>
      <c r="S106" s="43"/>
    </row>
    <row r="107" spans="1:19" x14ac:dyDescent="0.2">
      <c r="B107" s="76" t="str">
        <f>'Parameters List'!B107</f>
        <v>Folding (Blind) Velocity (m/s)</v>
      </c>
      <c r="C107" s="77">
        <f>1000*$C$106/$C$168</f>
        <v>45.124321989252977</v>
      </c>
      <c r="F107" s="43"/>
      <c r="G107" s="43"/>
      <c r="H107" s="43"/>
      <c r="I107" s="43"/>
      <c r="J107" s="43"/>
      <c r="K107" s="43"/>
      <c r="L107" s="43"/>
      <c r="M107" s="43"/>
      <c r="N107" s="43"/>
      <c r="O107" s="43"/>
      <c r="P107" s="43"/>
      <c r="Q107" s="43"/>
      <c r="R107" s="43"/>
      <c r="S107" s="43"/>
    </row>
    <row r="108" spans="1:19" x14ac:dyDescent="0.2">
      <c r="B108" s="76" t="str">
        <f>'Parameters List'!B108</f>
        <v>Max Trk Vr STD for Res Vel Amb (m/s)</v>
      </c>
      <c r="C108" s="77">
        <f>$C$107/4</f>
        <v>11.281080497313244</v>
      </c>
      <c r="F108" s="43"/>
      <c r="G108" s="43"/>
      <c r="H108" s="43"/>
      <c r="I108" s="43"/>
      <c r="J108" s="43"/>
      <c r="K108" s="43"/>
      <c r="L108" s="43"/>
      <c r="M108" s="43"/>
      <c r="N108" s="43"/>
      <c r="O108" s="43"/>
      <c r="P108" s="43"/>
      <c r="Q108" s="43"/>
      <c r="R108" s="43"/>
      <c r="S108" s="43"/>
    </row>
    <row r="109" spans="1:19" x14ac:dyDescent="0.2">
      <c r="B109" s="76" t="str">
        <f>'Parameters List'!B109</f>
        <v>Antenna 1 PA Duty cycle</v>
      </c>
      <c r="C109" s="77">
        <f>C$100*IF(C$27&gt;0,C$27,C$26)+D$100*IF(D$27&gt;0,D$27,D$26)</f>
        <v>0.11168475397745231</v>
      </c>
      <c r="F109" s="43"/>
      <c r="G109" s="43"/>
      <c r="H109" s="43"/>
      <c r="I109" s="43"/>
      <c r="J109" s="43"/>
      <c r="K109" s="43"/>
      <c r="L109" s="43"/>
      <c r="M109" s="43"/>
      <c r="N109" s="43"/>
      <c r="O109" s="43"/>
      <c r="P109" s="43"/>
      <c r="Q109" s="43"/>
      <c r="R109" s="43"/>
      <c r="S109" s="43"/>
    </row>
    <row r="110" spans="1:19" x14ac:dyDescent="0.2">
      <c r="B110" s="76" t="str">
        <f>'Parameters List'!B110</f>
        <v>Antenna 2 PA Duty cycle</v>
      </c>
      <c r="C110" s="77">
        <f>C$100*IF(C$28&gt;0,C$28,C$26)+D$100*IF(D$28&gt;0,D$28,D$26)</f>
        <v>0.11168475397745231</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'Parameters List'!B112</f>
        <v>Tgt RCS (m^2):</v>
      </c>
      <c r="C112" s="74">
        <f>C88</f>
        <v>3</v>
      </c>
      <c r="D112" s="74">
        <f>D88</f>
        <v>3</v>
      </c>
      <c r="F112" s="43"/>
      <c r="G112" s="43"/>
      <c r="H112" s="43"/>
      <c r="I112" s="43"/>
      <c r="J112" s="43"/>
      <c r="K112" s="43"/>
      <c r="L112" s="43"/>
      <c r="M112" s="43"/>
      <c r="N112" s="43"/>
      <c r="O112" s="43"/>
      <c r="P112" s="43"/>
      <c r="Q112" s="43"/>
      <c r="R112" s="43"/>
      <c r="S112" s="43"/>
    </row>
    <row r="113" spans="2:19" x14ac:dyDescent="0.2">
      <c r="B113" s="78" t="str">
        <f>'Parameters List'!B113</f>
        <v>SNR @ Range (m):</v>
      </c>
      <c r="C113" s="74">
        <f>C44</f>
        <v>4197.0944120000004</v>
      </c>
      <c r="D113" s="74">
        <f>D44</f>
        <v>15438.519129</v>
      </c>
    </row>
    <row r="114" spans="2:19" x14ac:dyDescent="0.2">
      <c r="B114" s="79" t="str">
        <f>'Parameters List'!B114</f>
        <v>Tgt @ADCin (dBm) - Ref. Rx</v>
      </c>
      <c r="C114" s="70">
        <f>$C$185+$C$186+$C$188+10*LOG10(C$112)+$C$189-$C$190-40*LOG10(C$113)+$C$171-C$84-C$85-$C$179*(C$80=1)</f>
        <v>-63.212302611765125</v>
      </c>
      <c r="D114" s="70">
        <f>$C$185+$C$186+$C$188+10*LOG10(D$112)+$C$189-$C$190-40*LOG10(D$113)+$C$171-D$84-D$85-$C$179*(D$80=1)</f>
        <v>-85.838578677072974</v>
      </c>
    </row>
    <row r="115" spans="2:19" x14ac:dyDescent="0.2">
      <c r="B115" s="95" t="str">
        <f>'Parameters List'!B115</f>
        <v>Tgt @ADCin (dBm) - 1st Rx - no calib.</v>
      </c>
      <c r="C115" s="70">
        <f>C$114-($C$188+$C$171-C$84-C$85-$C$179*(C$80=1))+$C$187+$C$170-C$82-C$83-$C$177*(C$80=1)</f>
        <v>-67.212302611765125</v>
      </c>
      <c r="D115" s="70">
        <f>D$114-($C$188+$C$171-D$84-D$85-$C$179*(D$80=1))+$C$187+$C$170-D$82-D$83-$C$177*(D$80=1)</f>
        <v>-89.838578677072974</v>
      </c>
      <c r="F115" s="43"/>
      <c r="G115" s="43"/>
      <c r="H115" s="43"/>
      <c r="I115" s="43"/>
      <c r="J115" s="43"/>
      <c r="K115" s="43"/>
      <c r="L115" s="43"/>
      <c r="M115" s="43"/>
      <c r="N115" s="43"/>
      <c r="O115" s="43"/>
      <c r="P115" s="43"/>
      <c r="Q115" s="43"/>
      <c r="R115" s="43"/>
      <c r="S115" s="43"/>
    </row>
    <row r="116" spans="2:19" x14ac:dyDescent="0.2">
      <c r="B116" s="95" t="str">
        <f>'Parameters List'!B116</f>
        <v>Tgt @ADCout (dBm) - 1st Rx</v>
      </c>
      <c r="C116" s="70">
        <f>C$114+20*LOG10($C$156/$C$157)-$C$177*(C$80=1)</f>
        <v>-43.212302611765125</v>
      </c>
      <c r="D116" s="70">
        <f>D$114+20*LOG10($C$156/$C$157)-$C$177*(D$80=1)</f>
        <v>-65.838578677072974</v>
      </c>
      <c r="F116" s="43"/>
      <c r="G116" s="43"/>
      <c r="H116" s="43"/>
      <c r="I116" s="43"/>
      <c r="J116" s="43"/>
      <c r="K116" s="43"/>
      <c r="L116" s="43"/>
      <c r="M116" s="43"/>
      <c r="N116" s="43"/>
      <c r="O116" s="43"/>
      <c r="P116" s="43"/>
      <c r="Q116" s="43"/>
      <c r="R116" s="43"/>
      <c r="S116" s="43"/>
    </row>
    <row r="117" spans="2:19" x14ac:dyDescent="0.2">
      <c r="B117" s="95" t="str">
        <f>'Parameters List'!B117</f>
        <v>Tgt @ADCout (dBm)</v>
      </c>
      <c r="C117" s="70">
        <f>20*LOG10(10^(C$114/20)+($C$155-1)*10^(C$116/20))+ (20*LOG10(C$34) - 2 * C$35) * (C$34&gt;1)</f>
        <v>-30.956625477370419</v>
      </c>
      <c r="D117" s="70">
        <f>20*LOG10(10^(D$114/20)+($C$155-1)*10^(D$116/20))+ (20*LOG10(D$34) - 2 * D$35) * (D$34&gt;1)</f>
        <v>-53.582901542678265</v>
      </c>
      <c r="G117" s="43"/>
      <c r="H117" s="43"/>
      <c r="I117" s="43"/>
      <c r="J117" s="43"/>
      <c r="K117" s="43"/>
      <c r="L117" s="43"/>
      <c r="M117" s="43"/>
      <c r="N117" s="43"/>
      <c r="O117" s="43"/>
      <c r="P117" s="43"/>
      <c r="Q117" s="43"/>
      <c r="R117" s="43"/>
      <c r="S117" s="43"/>
    </row>
    <row r="118" spans="2:19" x14ac:dyDescent="0.2">
      <c r="B118" s="79" t="str">
        <f>'Parameters List'!B118</f>
        <v>SNR (dB)</v>
      </c>
      <c r="C118" s="70">
        <f>C117-C$94-C$97+C$95</f>
        <v>33.177887266690313</v>
      </c>
      <c r="D118" s="70">
        <f>D117-D$94-D$97+D$95</f>
        <v>21.359601113474106</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'Parameters List'!B120</f>
        <v>Probability of Detection @ SNR (dB):</v>
      </c>
      <c r="C120" s="64">
        <v>15</v>
      </c>
      <c r="D120" s="64">
        <v>18</v>
      </c>
    </row>
    <row r="121" spans="2:19" x14ac:dyDescent="0.2">
      <c r="B121" s="71" t="str">
        <f>'Parameters List'!B121</f>
        <v>SWERLING (0, I, II, III, IV)</v>
      </c>
      <c r="C121" s="64">
        <v>1</v>
      </c>
      <c r="D121" s="64">
        <v>0</v>
      </c>
    </row>
    <row r="122" spans="2:19" x14ac:dyDescent="0.2">
      <c r="B122" s="79" t="str">
        <f>'Parameters List'!B122</f>
        <v>Probability of Detection</v>
      </c>
      <c r="C122" s="70">
        <f>pf_PD_PFA_CFAR("pd", C$74, C$120, C$121, C$68*2, 1)</f>
        <v>0.6181820390905115</v>
      </c>
      <c r="D122" s="70">
        <f>pf_PD_PFA_CFAR("pd", D$74, D$120, D$121, D$68*2, 1)</f>
        <v>0.9999760631200133</v>
      </c>
    </row>
    <row r="123" spans="2:19" x14ac:dyDescent="0.2">
      <c r="B123" s="71" t="str">
        <f>'Parameters List'!B123</f>
        <v>Pd for at least N of M detections (N,M)</v>
      </c>
      <c r="C123" s="105" t="s">
        <v>386</v>
      </c>
      <c r="D123" s="105" t="s">
        <v>386</v>
      </c>
    </row>
    <row r="124" spans="2:19" x14ac:dyDescent="0.2">
      <c r="B124" s="79" t="str">
        <f>'Parameters List'!B124</f>
        <v>Probability of Detection</v>
      </c>
      <c r="C124" s="70">
        <f>pf_PD_N_OUTOF_M(C$122, LEFT(C$123,FIND(",",C$123,1) - 1), MID(C$123,FIND(",",C$123,1)+1,100))</f>
        <v>0.92619322925372272</v>
      </c>
      <c r="D124" s="70">
        <f>pf_PD_N_OUTOF_M(D$122, LEFT(D$123,FIND(",",D$123,1) - 1), MID(D$123,FIND(",",D$123,1)+1,100))</f>
        <v>1</v>
      </c>
    </row>
    <row r="125" spans="2:19" x14ac:dyDescent="0.2">
      <c r="B125" s="75"/>
    </row>
    <row r="126" spans="2:19" x14ac:dyDescent="0.2">
      <c r="B126" s="71" t="str">
        <f>'Parameters List'!B126</f>
        <v>Target Revisit Time (sec)</v>
      </c>
      <c r="C126" s="64">
        <v>0.05</v>
      </c>
      <c r="D126" s="64">
        <v>0.05</v>
      </c>
    </row>
    <row r="127" spans="2:19" x14ac:dyDescent="0.2">
      <c r="B127" s="68" t="str">
        <f>'Parameters List'!B127</f>
        <v>Acceleration Folding (m/s2)</v>
      </c>
      <c r="C127" s="67">
        <f>$C$107/C$126</f>
        <v>902.48643978505947</v>
      </c>
      <c r="D127" s="67">
        <f>$C$107/D$126</f>
        <v>902.48643978505947</v>
      </c>
    </row>
    <row r="128" spans="2:19" x14ac:dyDescent="0.2">
      <c r="B128" s="80" t="str">
        <f>'Parameters List'!B128</f>
        <v>Maximum Allowed Acceleration (m/s2)</v>
      </c>
      <c r="C128" s="70">
        <f>($C$107/4)/C$126</f>
        <v>225.62160994626487</v>
      </c>
      <c r="D128" s="70">
        <f>($C$107/4)/D$126</f>
        <v>225.62160994626487</v>
      </c>
    </row>
    <row r="129" spans="2:19" x14ac:dyDescent="0.2">
      <c r="B129" s="80" t="str">
        <f>'Parameters List'!B129</f>
        <v>Acceleration Ambiguity (m/s2)</v>
      </c>
      <c r="C129" s="70">
        <f>C$127-C$128</f>
        <v>676.86482983879455</v>
      </c>
      <c r="D129" s="70">
        <f>D$127-D$128</f>
        <v>676.86482983879455</v>
      </c>
    </row>
    <row r="130" spans="2:19" x14ac:dyDescent="0.2">
      <c r="B130" s="75"/>
    </row>
    <row r="131" spans="2:19" x14ac:dyDescent="0.2">
      <c r="B131" s="78" t="str">
        <f>'Parameters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'Parameters List'!B132</f>
        <v>SNR @ Range (m):</v>
      </c>
      <c r="C132" s="74">
        <f>$C$163*C$36 + C$41</f>
        <v>299.79245800000001</v>
      </c>
      <c r="D132" s="74">
        <f>$C$163*D$36 + D$41</f>
        <v>4196.3019540000005</v>
      </c>
    </row>
    <row r="133" spans="2:19" x14ac:dyDescent="0.2">
      <c r="B133" s="79" t="str">
        <f>'Parameters List'!B133</f>
        <v>Tgt @ADCin (dBm) - Ref. Rx</v>
      </c>
      <c r="C133" s="70">
        <f>$C$185+$C$186+$C$188+10*LOG10(C$131)+$C$189-$C$190-40*LOG10(C$132)+$C$171-C$84-C$85-$C$179*(C$80=1)</f>
        <v>-42.138393731832224</v>
      </c>
      <c r="D133" s="70">
        <f>$C$185+$C$186+$C$188+10*LOG10(D$131)+$C$189-$C$190-40*LOG10(D$132)+$C$171-D$84-D$85-$C$179*(D$80=1)</f>
        <v>-77.980234864572651</v>
      </c>
    </row>
    <row r="134" spans="2:19" x14ac:dyDescent="0.2">
      <c r="B134" s="78" t="str">
        <f>'Parameters List'!B134</f>
        <v>Interferer @ Range (m)</v>
      </c>
      <c r="C134" s="74">
        <v>10000</v>
      </c>
      <c r="D134" s="74">
        <v>10000</v>
      </c>
    </row>
    <row r="135" spans="2:19" x14ac:dyDescent="0.2">
      <c r="B135" s="79" t="str">
        <f>'Parameters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'Parameters List'!B136</f>
        <v>Interferer @ ADCin (dBm) - 1st Rx</v>
      </c>
      <c r="C136" s="70">
        <f>C$135+20*LOG10($C$156/$C$157)-$C$177*(C$80=1)</f>
        <v>27.926533025505833</v>
      </c>
      <c r="D136" s="70">
        <f>$C$185+$C$186+$C$187-$C$166+$C$189-$C$190/3*2-20*LOG10(D$134)+$C$170-D$84-D$85-$C$177*(D$80=1)</f>
        <v>23.926533025505833</v>
      </c>
    </row>
    <row r="137" spans="2:19" x14ac:dyDescent="0.2">
      <c r="B137" s="81" t="str">
        <f>'Parameters List'!B137</f>
        <v>Ref. Rx Phase Noise @ADCin (dBm/bin)</v>
      </c>
      <c r="C137" s="67">
        <f>C$135+$C$165+10*LOG10(1/(C$30*10^-3))+10*LOG10($C$175*10^6/($C$106*10^3))</f>
        <v>-62.124966757693223</v>
      </c>
      <c r="D137" s="67">
        <f>D$135+$C$165+10*LOG10(1/(D$30*10^-3))+10*LOG10($C$175*10^6/($C$106*10^3))</f>
        <v>-62.124966757693223</v>
      </c>
    </row>
    <row r="138" spans="2:19" x14ac:dyDescent="0.2">
      <c r="B138" s="81" t="str">
        <f>'Parameters List'!B138</f>
        <v>Ref. Rx Phase Noise @ADCout (dBm/bin)</v>
      </c>
      <c r="C138" s="67">
        <f>C$137+C$95</f>
        <v>-25.071967191295101</v>
      </c>
      <c r="D138" s="67">
        <f>D$137+D$95</f>
        <v>-13.932533668226732</v>
      </c>
    </row>
    <row r="139" spans="2:19" x14ac:dyDescent="0.2">
      <c r="B139" s="81" t="str">
        <f>'Parameters List'!B139</f>
        <v>Ref. Rx Total Noise @ADCout (dBm/bin)</v>
      </c>
      <c r="C139" s="67">
        <f>10*LOG10(10 ^ (C$138 / 10) + 10 ^ (C$93 / 10))</f>
        <v>-25.040456022602555</v>
      </c>
      <c r="D139" s="67">
        <f>10*LOG10(10 ^ (D$138 / 10) + 10 ^ (D$93 / 10))</f>
        <v>-13.93010159828494</v>
      </c>
    </row>
    <row r="140" spans="2:19" x14ac:dyDescent="0.2">
      <c r="B140" s="81" t="str">
        <f>'Parameters List'!B140</f>
        <v>1st Rx Phase Noise @ADCout (dBm/bin)</v>
      </c>
      <c r="C140" s="67">
        <f>C$136+$C$165+10*LOG10(1/(C$30*10^-3))+10*LOG10($C$175*10^6/($C$106*10^3))+C$95</f>
        <v>-5.0719671912951014</v>
      </c>
      <c r="D140" s="67">
        <f>D$136+$C$165+10*LOG10(1/(D$30*10^-3))+10*LOG10($C$175*10^6/($C$106*10^3))+D$95</f>
        <v>2.067466331773268</v>
      </c>
    </row>
    <row r="141" spans="2:19" x14ac:dyDescent="0.2">
      <c r="B141" s="81" t="str">
        <f>'Parameters List'!B141</f>
        <v>1st Rx Total Noise @ADCout (dBm/bin)</v>
      </c>
      <c r="C141" s="67">
        <f>10*LOG10(10 ^ (C$140 / 10) + 10 ^ (C$92 / 10))</f>
        <v>-5.0673877549164104</v>
      </c>
      <c r="D141" s="67">
        <f>10*LOG10(10 ^ (D$140 / 10) + 10 ^ (D$92 / 10))</f>
        <v>2.0683515562371131</v>
      </c>
    </row>
    <row r="142" spans="2:19" x14ac:dyDescent="0.2">
      <c r="B142" s="81" t="str">
        <f>'Parameters List'!B142</f>
        <v>Total Noise Power @ADCout (dBm/bin)</v>
      </c>
      <c r="C142" s="67">
        <f>10*LOG10((($C$155-1) * 10^(C$140/20) + 10^(C$138/20))^2*((C$34 - 10^(C$35/10))*(C$34&gt;1) + 1) ^ 2 + 10^(C$94/10))</f>
        <v>7.1848188832540769</v>
      </c>
      <c r="D142" s="67">
        <f>10*LOG10((($C$155-1) * 10^(D$140/20) + 10^(D$138/20))^2*((D$34 - 10^(D$35/10))*(D$34&gt;1) + 1) ^ 2 + 10^(D$94/10))</f>
        <v>14.446386447342366</v>
      </c>
    </row>
    <row r="143" spans="2:19" x14ac:dyDescent="0.2">
      <c r="B143" s="79" t="str">
        <f>'Parameters List'!B143</f>
        <v>SNR (dB)</v>
      </c>
      <c r="C143" s="70">
        <f>IF(C$134&lt;=0, C$133+C$96-C$94, C$133+C$96 -C$142)-C$97</f>
        <v>18.32247966996599</v>
      </c>
      <c r="D143" s="70">
        <f>IF(D$134&lt;=0, D$133+D$96-D$94, D$133+D$96 -D$142)-D$97</f>
        <v>-13.972939114771094</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'Parameters List'!B146</f>
        <v>Ref Rx Noise @ADCout (dBm/bin)</v>
      </c>
      <c r="C146" s="70">
        <f>C$93-C$95</f>
        <v>-83.502399653118488</v>
      </c>
      <c r="D146" s="83">
        <f>D$93-D$95</f>
        <v>-94.641833176186864</v>
      </c>
      <c r="F146" s="43"/>
      <c r="G146" s="43"/>
      <c r="H146" s="43"/>
      <c r="I146" s="43"/>
      <c r="J146" s="43"/>
      <c r="K146" s="43"/>
      <c r="L146" s="43"/>
      <c r="M146" s="43"/>
      <c r="N146" s="43"/>
      <c r="O146" s="43"/>
      <c r="P146" s="43"/>
      <c r="Q146" s="43"/>
      <c r="R146" s="43"/>
      <c r="S146" s="43"/>
    </row>
    <row r="147" spans="2:19" x14ac:dyDescent="0.2">
      <c r="B147" s="82" t="str">
        <f>'Parameters List'!B147</f>
        <v>1st Rx Noise @ADCout (dBm/bin)</v>
      </c>
      <c r="C147" s="70">
        <f>C$92-C$95</f>
        <v>-71.892399653118503</v>
      </c>
      <c r="D147" s="83">
        <f>D$92-D$95</f>
        <v>-83.031833176186879</v>
      </c>
    </row>
    <row r="148" spans="2:19" ht="15" thickBot="1" x14ac:dyDescent="0.25">
      <c r="B148" s="84" t="str">
        <f>'Parameters List'!B148</f>
        <v>Beam Total Noise @ADCout (dBm/bin)</v>
      </c>
      <c r="C148" s="85">
        <f>C$94-C$95 - (10*LOG10(C$34) - C$35) * (C$34&gt;1)</f>
        <v>-65.797497159801267</v>
      </c>
      <c r="D148" s="86">
        <f>D$94-D$95 - (10*LOG10(D$34) - D$35) * (D$34&gt;1)</f>
        <v>-76.936930682869644</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'Parameters List'!B151</f>
        <v>Ref Rx Noise @ADCout (dBm/bin)</v>
      </c>
      <c r="C151" s="70">
        <f>C$139-C$95</f>
        <v>-62.093455589000676</v>
      </c>
      <c r="D151" s="83">
        <f>D$139-D$95</f>
        <v>-62.122534687751433</v>
      </c>
      <c r="F151" s="43"/>
      <c r="G151" s="43"/>
      <c r="H151" s="43"/>
      <c r="I151" s="43"/>
      <c r="J151" s="43"/>
      <c r="K151" s="43"/>
      <c r="L151" s="43"/>
      <c r="M151" s="43"/>
      <c r="N151" s="43"/>
      <c r="O151" s="43"/>
      <c r="P151" s="43"/>
      <c r="Q151" s="43"/>
      <c r="R151" s="43"/>
      <c r="S151" s="43"/>
    </row>
    <row r="152" spans="2:19" x14ac:dyDescent="0.2">
      <c r="B152" s="82" t="str">
        <f>'Parameters List'!B152</f>
        <v>1st Rx Noise @ADCout (dBm/bin)</v>
      </c>
      <c r="C152" s="70">
        <f>C$141-C$95</f>
        <v>-42.120387321314531</v>
      </c>
      <c r="D152" s="83">
        <f>D$141-D$95</f>
        <v>-46.124081533229379</v>
      </c>
    </row>
    <row r="153" spans="2:19" ht="15" thickBot="1" x14ac:dyDescent="0.25">
      <c r="B153" s="84" t="str">
        <f>'Parameters List'!B153</f>
        <v>Beam Total Noise @ADCout (dBm/bin)</v>
      </c>
      <c r="C153" s="85">
        <f>10*LOG10(10 ^ ((C$137 + C$96 - (20*LOG10(C$34) - 2*C$35) * (C$34&gt;1))/ 10) + 10 ^ ((C$94 - (10*LOG10(C$34) - C$35) * (C$34&gt;1)) / 10)) - C$95</f>
        <v>-29.868180683144043</v>
      </c>
      <c r="D153" s="86">
        <f>10*LOG10(10 ^ ((D$137 + D$96 - (20*LOG10(D$34) - 2*D$35) * (D$34&gt;1))/ 10) + 10 ^ ((D$94 - (10*LOG10(D$34) - D$35) * (D$34&gt;1)) / 10)) - D$95</f>
        <v>-29.869204310155968</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'General System Parameters'!B9</f>
        <v># Rcvrs</v>
      </c>
      <c r="C155" s="33">
        <f>'General System Parameters'!C9</f>
        <v>5</v>
      </c>
      <c r="F155" s="43"/>
      <c r="G155" s="43"/>
      <c r="H155" s="43"/>
      <c r="I155" s="43"/>
      <c r="J155" s="43"/>
      <c r="K155" s="43"/>
      <c r="L155" s="43"/>
      <c r="M155" s="43"/>
      <c r="N155" s="43"/>
      <c r="O155" s="43"/>
      <c r="P155" s="43"/>
      <c r="Q155" s="43"/>
      <c r="R155" s="43"/>
      <c r="S155" s="43"/>
    </row>
    <row r="156" spans="2:19" x14ac:dyDescent="0.2">
      <c r="B156" s="32" t="str">
        <f>'General System Parameters'!B10</f>
        <v># Patches in 1st Rx</v>
      </c>
      <c r="C156" s="33">
        <f>'General System Parameters'!C10</f>
        <v>10</v>
      </c>
      <c r="F156" s="43"/>
      <c r="G156" s="43"/>
      <c r="H156" s="43"/>
      <c r="I156" s="43"/>
      <c r="J156" s="43"/>
      <c r="K156" s="43"/>
      <c r="L156" s="43"/>
      <c r="M156" s="43"/>
      <c r="N156" s="43"/>
      <c r="O156" s="43"/>
      <c r="P156" s="43"/>
      <c r="Q156" s="43"/>
      <c r="R156" s="43"/>
      <c r="S156" s="43"/>
    </row>
    <row r="157" spans="2:19" x14ac:dyDescent="0.2">
      <c r="B157" s="32" t="str">
        <f>'General System Parameters'!B11</f>
        <v># Patches in Ref (Guard) Rx</v>
      </c>
      <c r="C157" s="33">
        <f>'General System Parameters'!C11</f>
        <v>1</v>
      </c>
      <c r="F157" s="43"/>
      <c r="G157" s="43"/>
      <c r="H157" s="43"/>
      <c r="I157" s="43"/>
      <c r="J157" s="43"/>
      <c r="K157" s="43"/>
      <c r="L157" s="43"/>
      <c r="M157" s="43"/>
      <c r="N157" s="43"/>
      <c r="O157" s="43"/>
      <c r="P157" s="43"/>
      <c r="Q157" s="43"/>
      <c r="R157" s="43"/>
      <c r="S157" s="43"/>
    </row>
    <row r="158" spans="2:19" x14ac:dyDescent="0.2">
      <c r="B158" s="32" t="str">
        <f>'General System Parameters'!B12</f>
        <v>Typical System Gain (dB) - 1st Rx</v>
      </c>
      <c r="C158" s="33">
        <f>'General System Parameters'!C12</f>
        <v>59.76</v>
      </c>
      <c r="F158" s="43"/>
      <c r="G158" s="43"/>
      <c r="H158" s="43"/>
      <c r="I158" s="43"/>
      <c r="J158" s="43"/>
      <c r="K158" s="43"/>
      <c r="L158" s="43"/>
      <c r="M158" s="43"/>
      <c r="N158" s="43"/>
      <c r="O158" s="43"/>
      <c r="P158" s="43"/>
      <c r="Q158" s="43"/>
      <c r="R158" s="43"/>
      <c r="S158" s="43"/>
    </row>
    <row r="159" spans="2:19" x14ac:dyDescent="0.2">
      <c r="B159" s="32" t="str">
        <f>'General System Parameters'!B13</f>
        <v>Typical System Gain (dB) - Ref (Guard) Rx</v>
      </c>
      <c r="C159" s="33">
        <f>'General System Parameters'!C13</f>
        <v>54.1</v>
      </c>
      <c r="F159" s="43"/>
      <c r="G159" s="43"/>
      <c r="H159" s="43"/>
      <c r="I159" s="43"/>
      <c r="J159" s="43"/>
      <c r="K159" s="43"/>
      <c r="L159" s="43"/>
      <c r="M159" s="43"/>
      <c r="N159" s="43"/>
      <c r="O159" s="43"/>
      <c r="P159" s="43"/>
      <c r="Q159" s="43"/>
      <c r="R159" s="43"/>
      <c r="S159" s="43"/>
    </row>
    <row r="160" spans="2:19" x14ac:dyDescent="0.2">
      <c r="B160" s="32" t="str">
        <f>'General System Parameters'!B14</f>
        <v>Typical 1st Rx Calibration (dB)</v>
      </c>
      <c r="C160" s="33">
        <f>'General System Parameters'!C14</f>
        <v>4.3400000000000105</v>
      </c>
      <c r="F160" s="43"/>
      <c r="G160" s="43"/>
      <c r="H160" s="43"/>
      <c r="I160" s="43"/>
      <c r="J160" s="43"/>
      <c r="K160" s="43"/>
      <c r="L160" s="43"/>
      <c r="M160" s="43"/>
      <c r="N160" s="43"/>
      <c r="O160" s="43"/>
      <c r="P160" s="43"/>
      <c r="Q160" s="43"/>
      <c r="R160" s="43"/>
      <c r="S160" s="43"/>
    </row>
    <row r="161" spans="2:19" x14ac:dyDescent="0.2">
      <c r="B161" s="32" t="str">
        <f>'General System Parameters'!B15</f>
        <v>System Propagation Delay (us)</v>
      </c>
      <c r="C161" s="33">
        <f>'General System Parameters'!C15</f>
        <v>0.15</v>
      </c>
      <c r="F161" s="43"/>
      <c r="G161" s="43"/>
      <c r="H161" s="43"/>
      <c r="I161" s="43"/>
      <c r="J161" s="43"/>
      <c r="K161" s="43"/>
      <c r="L161" s="43"/>
      <c r="M161" s="43"/>
      <c r="N161" s="43"/>
      <c r="O161" s="43"/>
      <c r="P161" s="43"/>
      <c r="Q161" s="43"/>
      <c r="R161" s="43"/>
      <c r="S161" s="43"/>
    </row>
    <row r="162" spans="2:19" x14ac:dyDescent="0.2">
      <c r="B162" s="32" t="str">
        <f>'General System Parameters'!B16</f>
        <v>c (m/s)</v>
      </c>
      <c r="C162" s="33">
        <f>'General System Parameters'!C16</f>
        <v>299792458</v>
      </c>
      <c r="F162" s="43"/>
      <c r="G162" s="43"/>
      <c r="H162" s="43"/>
      <c r="I162" s="43"/>
      <c r="J162" s="43"/>
      <c r="K162" s="43"/>
      <c r="L162" s="43"/>
      <c r="M162" s="43"/>
      <c r="N162" s="43"/>
      <c r="O162" s="43"/>
      <c r="P162" s="43"/>
      <c r="Q162" s="43"/>
      <c r="R162" s="43"/>
      <c r="S162" s="43"/>
    </row>
    <row r="163" spans="2:19" x14ac:dyDescent="0.2">
      <c r="B163" s="32" t="str">
        <f>'General System Parameters'!B17</f>
        <v>c/2 (m/μs)</v>
      </c>
      <c r="C163" s="33">
        <f>'General System Parameters'!C17</f>
        <v>149.89622900000001</v>
      </c>
      <c r="F163" s="43"/>
      <c r="G163" s="43"/>
      <c r="H163" s="43"/>
      <c r="I163" s="43"/>
      <c r="J163" s="43"/>
      <c r="K163" s="43"/>
      <c r="L163" s="43"/>
      <c r="M163" s="43"/>
      <c r="N163" s="43"/>
      <c r="O163" s="43"/>
      <c r="P163" s="43"/>
      <c r="Q163" s="43"/>
      <c r="R163" s="43"/>
      <c r="S163" s="43"/>
    </row>
    <row r="164" spans="2:19" x14ac:dyDescent="0.2">
      <c r="B164" s="30" t="str">
        <f>'General System Parameters'!B18</f>
        <v>Freq (GHz)</v>
      </c>
      <c r="C164" s="31">
        <f>'General System Parameters'!C18</f>
        <v>3.5</v>
      </c>
      <c r="F164" s="43"/>
      <c r="G164" s="43"/>
      <c r="H164" s="43"/>
      <c r="I164" s="43"/>
      <c r="J164" s="43"/>
      <c r="K164" s="43"/>
      <c r="L164" s="43"/>
      <c r="M164" s="43"/>
      <c r="N164" s="43"/>
      <c r="O164" s="43"/>
      <c r="P164" s="43"/>
      <c r="Q164" s="43"/>
      <c r="R164" s="43"/>
      <c r="S164" s="43"/>
    </row>
    <row r="165" spans="2:19" x14ac:dyDescent="0.2">
      <c r="B165" s="30" t="str">
        <f>'General System Parameters'!B19</f>
        <v>Phase Noise Level (dBc/Hz)</v>
      </c>
      <c r="C165" s="31">
        <f>'General System Parameters'!C19</f>
        <v>-125</v>
      </c>
      <c r="F165" s="43"/>
      <c r="G165" s="43"/>
      <c r="H165" s="43"/>
      <c r="I165" s="43"/>
      <c r="J165" s="43"/>
      <c r="K165" s="43"/>
      <c r="L165" s="43"/>
      <c r="M165" s="43"/>
      <c r="N165" s="43"/>
      <c r="O165" s="43"/>
      <c r="P165" s="43"/>
      <c r="Q165" s="43"/>
      <c r="R165" s="43"/>
      <c r="S165" s="43"/>
    </row>
    <row r="166" spans="2:19" x14ac:dyDescent="0.2">
      <c r="B166" s="30" t="str">
        <f>'General System Parameters'!B20</f>
        <v>Polarization Loss (dB)</v>
      </c>
      <c r="C166" s="31">
        <f>'General System Parameters'!C20</f>
        <v>0</v>
      </c>
      <c r="F166" s="43"/>
      <c r="G166" s="43"/>
      <c r="H166" s="43"/>
      <c r="I166" s="43"/>
      <c r="J166" s="43"/>
      <c r="K166" s="43"/>
      <c r="L166" s="43"/>
      <c r="M166" s="43"/>
      <c r="N166" s="43"/>
      <c r="O166" s="43"/>
      <c r="P166" s="43"/>
      <c r="Q166" s="43"/>
      <c r="R166" s="43"/>
      <c r="S166" s="43"/>
    </row>
    <row r="167" spans="2:19" x14ac:dyDescent="0.2">
      <c r="B167" s="34" t="str">
        <f>'General System Parameters'!B21</f>
        <v>λ (m)</v>
      </c>
      <c r="C167" s="35">
        <f>'General System Parameters'!C21</f>
        <v>8.5654988000000001E-2</v>
      </c>
      <c r="F167" s="43"/>
      <c r="G167" s="43"/>
      <c r="H167" s="43"/>
      <c r="I167" s="43"/>
      <c r="J167" s="43"/>
      <c r="K167" s="43"/>
      <c r="L167" s="43"/>
      <c r="M167" s="43"/>
      <c r="N167" s="43"/>
      <c r="O167" s="43"/>
      <c r="P167" s="43"/>
      <c r="Q167" s="43"/>
      <c r="R167" s="43"/>
      <c r="S167" s="43"/>
    </row>
    <row r="168" spans="2:19" x14ac:dyDescent="0.2">
      <c r="B168" s="34" t="str">
        <f>'General System Parameters'!B22</f>
        <v>Doppler factor (Hz/(m/sec))</v>
      </c>
      <c r="C168" s="35">
        <f>'General System Parameters'!C22</f>
        <v>23.349486663870643</v>
      </c>
      <c r="F168" s="43"/>
      <c r="G168" s="43"/>
      <c r="H168" s="43"/>
      <c r="I168" s="43"/>
      <c r="J168" s="43"/>
      <c r="K168" s="43"/>
      <c r="L168" s="43"/>
      <c r="M168" s="43"/>
      <c r="N168" s="43"/>
      <c r="O168" s="43"/>
      <c r="P168" s="43"/>
      <c r="Q168" s="43"/>
      <c r="R168" s="43"/>
      <c r="S168" s="43"/>
    </row>
    <row r="169" spans="2:19" x14ac:dyDescent="0.2">
      <c r="B169" s="36" t="str">
        <f>'General System Parameters'!B23</f>
        <v>ALC</v>
      </c>
      <c r="C169" s="31">
        <f>'General System Parameters'!C23</f>
        <v>0</v>
      </c>
      <c r="F169" s="43"/>
      <c r="G169" s="43"/>
      <c r="H169" s="43"/>
      <c r="I169" s="43"/>
      <c r="J169" s="43"/>
      <c r="K169" s="43"/>
      <c r="L169" s="43"/>
      <c r="M169" s="43"/>
      <c r="N169" s="43"/>
      <c r="O169" s="43"/>
      <c r="P169" s="43"/>
      <c r="Q169" s="43"/>
      <c r="R169" s="43"/>
      <c r="S169" s="43"/>
    </row>
    <row r="170" spans="2:19" x14ac:dyDescent="0.2">
      <c r="B170" s="36" t="str">
        <f>'General System Parameters'!B24</f>
        <v>Actual System Gain (dB) - 1st Rx</v>
      </c>
      <c r="C170" s="31">
        <f>'General System Parameters'!C24</f>
        <v>60</v>
      </c>
      <c r="F170" s="43"/>
      <c r="G170" s="43"/>
      <c r="H170" s="43"/>
      <c r="I170" s="43"/>
      <c r="J170" s="43"/>
      <c r="K170" s="43"/>
      <c r="L170" s="43"/>
      <c r="M170" s="43"/>
      <c r="N170" s="43"/>
      <c r="O170" s="43"/>
      <c r="P170" s="43"/>
      <c r="Q170" s="43"/>
      <c r="R170" s="43"/>
      <c r="S170" s="43"/>
    </row>
    <row r="171" spans="2:19" x14ac:dyDescent="0.2">
      <c r="B171" s="36" t="str">
        <f>'General System Parameters'!B25</f>
        <v>Actual System Gain (dB) - Ref Rx</v>
      </c>
      <c r="C171" s="31">
        <f>'General System Parameters'!C25</f>
        <v>54</v>
      </c>
      <c r="F171" s="43"/>
      <c r="G171" s="43"/>
      <c r="H171" s="43"/>
      <c r="I171" s="43"/>
      <c r="J171" s="43"/>
      <c r="K171" s="43"/>
      <c r="L171" s="43"/>
      <c r="M171" s="43"/>
      <c r="N171" s="43"/>
      <c r="O171" s="43"/>
      <c r="P171" s="43"/>
      <c r="Q171" s="43"/>
      <c r="R171" s="43"/>
      <c r="S171" s="43"/>
    </row>
    <row r="172" spans="2:19" x14ac:dyDescent="0.2">
      <c r="B172" s="34" t="str">
        <f>'General System Parameters'!B26</f>
        <v>Actual 1st Rx Calibration (dB)</v>
      </c>
      <c r="C172" s="35">
        <f>'General System Parameters'!C26</f>
        <v>4</v>
      </c>
      <c r="F172" s="43"/>
      <c r="G172" s="43"/>
      <c r="H172" s="43"/>
      <c r="I172" s="43"/>
      <c r="J172" s="43"/>
      <c r="K172" s="43"/>
      <c r="L172" s="43"/>
      <c r="M172" s="43"/>
      <c r="N172" s="43"/>
      <c r="O172" s="43"/>
      <c r="P172" s="43"/>
      <c r="Q172" s="43"/>
      <c r="R172" s="43"/>
      <c r="S172" s="43"/>
    </row>
    <row r="173" spans="2:19" x14ac:dyDescent="0.2">
      <c r="B173" s="32" t="str">
        <f>'General System Parameters'!B27</f>
        <v>KT (dBm/Hz)</v>
      </c>
      <c r="C173" s="33">
        <f>'General System Parameters'!C27</f>
        <v>-174</v>
      </c>
      <c r="F173" s="43"/>
      <c r="G173" s="43"/>
      <c r="H173" s="43"/>
      <c r="I173" s="43"/>
      <c r="J173" s="43"/>
      <c r="K173" s="43"/>
      <c r="L173" s="43"/>
      <c r="M173" s="43"/>
      <c r="N173" s="43"/>
      <c r="O173" s="43"/>
      <c r="P173" s="43"/>
      <c r="Q173" s="43"/>
      <c r="R173" s="43"/>
      <c r="S173" s="43"/>
    </row>
    <row r="174" spans="2:19" x14ac:dyDescent="0.2">
      <c r="B174" s="32" t="str">
        <f>'General System Parameters'!B28</f>
        <v>Sample Period (us)</v>
      </c>
      <c r="C174" s="33">
        <f>'General System Parameters'!C28</f>
        <v>1.2500000000000001E-2</v>
      </c>
      <c r="F174" s="43"/>
      <c r="G174" s="43"/>
      <c r="H174" s="43"/>
      <c r="I174" s="43"/>
      <c r="J174" s="43"/>
      <c r="K174" s="43"/>
      <c r="L174" s="43"/>
      <c r="M174" s="43"/>
      <c r="N174" s="43"/>
      <c r="O174" s="43"/>
      <c r="P174" s="43"/>
      <c r="Q174" s="43"/>
      <c r="R174" s="43"/>
      <c r="S174" s="43"/>
    </row>
    <row r="175" spans="2:19" x14ac:dyDescent="0.2">
      <c r="B175" s="37" t="str">
        <f>'General System Parameters'!B29</f>
        <v>ADC Bandwidth (MHz)</v>
      </c>
      <c r="C175" s="35">
        <f>'General System Parameters'!C29</f>
        <v>40</v>
      </c>
      <c r="F175" s="43"/>
      <c r="G175" s="43"/>
      <c r="H175" s="43"/>
      <c r="I175" s="43"/>
      <c r="J175" s="43"/>
      <c r="K175" s="43"/>
      <c r="L175" s="43"/>
      <c r="M175" s="43"/>
      <c r="N175" s="43"/>
      <c r="O175" s="43"/>
      <c r="P175" s="43"/>
      <c r="Q175" s="43"/>
      <c r="R175" s="43"/>
      <c r="S175" s="43"/>
    </row>
    <row r="176" spans="2:19" x14ac:dyDescent="0.2">
      <c r="B176" s="32" t="str">
        <f>'General System Parameters'!B30</f>
        <v>ADC Noise Level (dBm)</v>
      </c>
      <c r="C176" s="33">
        <f>'General System Parameters'!C30</f>
        <v>-65</v>
      </c>
      <c r="F176" s="43"/>
      <c r="G176" s="43"/>
      <c r="H176" s="43"/>
      <c r="I176" s="43"/>
      <c r="J176" s="43"/>
      <c r="K176" s="43"/>
      <c r="L176" s="43"/>
      <c r="M176" s="43"/>
      <c r="N176" s="43"/>
      <c r="O176" s="43"/>
      <c r="P176" s="43"/>
      <c r="Q176" s="43"/>
      <c r="R176" s="43"/>
      <c r="S176" s="43"/>
    </row>
    <row r="177" spans="2:19" x14ac:dyDescent="0.2">
      <c r="B177" s="32" t="str">
        <f>'General System Parameters'!B31</f>
        <v>Tapering Signal Gain Loss (dB) - 1st Rx</v>
      </c>
      <c r="C177" s="33">
        <f>'General System Parameters'!C31</f>
        <v>3.51</v>
      </c>
      <c r="F177" s="43"/>
      <c r="G177" s="43"/>
      <c r="H177" s="43"/>
      <c r="I177" s="43"/>
      <c r="J177" s="43"/>
      <c r="K177" s="43"/>
      <c r="L177" s="43"/>
      <c r="M177" s="43"/>
      <c r="N177" s="43"/>
      <c r="O177" s="43"/>
      <c r="P177" s="43"/>
      <c r="Q177" s="43"/>
      <c r="R177" s="43"/>
      <c r="S177" s="43"/>
    </row>
    <row r="178" spans="2:19" x14ac:dyDescent="0.2">
      <c r="B178" s="32" t="str">
        <f>'General System Parameters'!B32</f>
        <v>Tapering Noise Gain Loss (dB) - 1st Rx</v>
      </c>
      <c r="C178" s="33">
        <f>'General System Parameters'!C32</f>
        <v>3.1337000000000002</v>
      </c>
      <c r="F178" s="43"/>
      <c r="G178" s="43"/>
      <c r="H178" s="43"/>
      <c r="I178" s="43"/>
      <c r="J178" s="43"/>
      <c r="K178" s="43"/>
      <c r="L178" s="43"/>
      <c r="M178" s="43"/>
      <c r="N178" s="43"/>
      <c r="O178" s="43"/>
      <c r="P178" s="43"/>
      <c r="Q178" s="43"/>
      <c r="R178" s="43"/>
      <c r="S178" s="43"/>
    </row>
    <row r="179" spans="2:19" x14ac:dyDescent="0.2">
      <c r="B179" s="32" t="str">
        <f>'General System Parameters'!B33</f>
        <v>Tapering Signal Gain Loss (dB) - Ref (Guard) Rx</v>
      </c>
      <c r="C179" s="33">
        <f>'General System Parameters'!C33</f>
        <v>0</v>
      </c>
      <c r="F179" s="43"/>
      <c r="G179" s="43"/>
      <c r="H179" s="43"/>
      <c r="I179" s="43"/>
      <c r="J179" s="43"/>
      <c r="K179" s="43"/>
      <c r="L179" s="43"/>
      <c r="M179" s="43"/>
      <c r="N179" s="43"/>
      <c r="O179" s="43"/>
      <c r="P179" s="43"/>
      <c r="Q179" s="43"/>
      <c r="R179" s="43"/>
      <c r="S179" s="43"/>
    </row>
    <row r="180" spans="2:19" x14ac:dyDescent="0.2">
      <c r="B180" s="32" t="str">
        <f>'General System Parameters'!B34</f>
        <v>Tapering Noise Gain Loss (dB) - Ref (Guard) Rx</v>
      </c>
      <c r="C180" s="33">
        <f>'General System Parameters'!C34</f>
        <v>0</v>
      </c>
      <c r="F180" s="43"/>
      <c r="G180" s="43"/>
      <c r="H180" s="43"/>
      <c r="I180" s="43"/>
      <c r="J180" s="43"/>
      <c r="K180" s="43"/>
      <c r="L180" s="43"/>
      <c r="M180" s="43"/>
      <c r="N180" s="43"/>
      <c r="O180" s="43"/>
      <c r="P180" s="43"/>
      <c r="Q180" s="43"/>
      <c r="R180" s="43"/>
      <c r="S180" s="43"/>
    </row>
    <row r="181" spans="2:19" x14ac:dyDescent="0.2">
      <c r="B181" s="37" t="str">
        <f>'General System Parameters'!B35</f>
        <v>Tapering Rx Loss (dB)</v>
      </c>
      <c r="C181" s="35">
        <f>'General System Parameters'!C35</f>
        <v>0.37629999999999963</v>
      </c>
      <c r="F181" s="43"/>
      <c r="G181" s="43"/>
      <c r="H181" s="43"/>
      <c r="I181" s="43"/>
      <c r="J181" s="43"/>
      <c r="K181" s="43"/>
      <c r="L181" s="43"/>
      <c r="M181" s="43"/>
      <c r="N181" s="43"/>
      <c r="O181" s="43"/>
      <c r="P181" s="43"/>
      <c r="Q181" s="43"/>
      <c r="R181" s="43"/>
      <c r="S181" s="43"/>
    </row>
    <row r="182" spans="2:19" x14ac:dyDescent="0.2">
      <c r="B182" s="30" t="str">
        <f>'General System Parameters'!B36</f>
        <v>Number of T/R modules</v>
      </c>
      <c r="C182" s="31">
        <f>'General System Parameters'!C36</f>
        <v>41</v>
      </c>
      <c r="F182" s="43"/>
      <c r="G182" s="43"/>
      <c r="H182" s="43"/>
      <c r="I182" s="43"/>
      <c r="J182" s="43"/>
      <c r="K182" s="43"/>
      <c r="L182" s="43"/>
      <c r="M182" s="43"/>
      <c r="N182" s="43"/>
      <c r="O182" s="43"/>
      <c r="P182" s="43"/>
      <c r="Q182" s="43"/>
      <c r="R182" s="43"/>
      <c r="S182" s="43"/>
    </row>
    <row r="183" spans="2:19" x14ac:dyDescent="0.2">
      <c r="B183" s="30" t="str">
        <f>'General System Parameters'!B37</f>
        <v>Power per T/R module</v>
      </c>
      <c r="C183" s="31">
        <f>'General System Parameters'!C37</f>
        <v>10</v>
      </c>
      <c r="F183" s="43"/>
      <c r="G183" s="43"/>
      <c r="H183" s="43"/>
      <c r="I183" s="43"/>
      <c r="J183" s="43"/>
      <c r="K183" s="43"/>
      <c r="L183" s="43"/>
      <c r="M183" s="43"/>
      <c r="N183" s="43"/>
      <c r="O183" s="43"/>
      <c r="P183" s="43"/>
      <c r="Q183" s="43"/>
      <c r="R183" s="43"/>
      <c r="S183" s="43"/>
    </row>
    <row r="184" spans="2:19" x14ac:dyDescent="0.2">
      <c r="B184" s="30" t="str">
        <f>'General System Parameters'!B38</f>
        <v>Gain per T/R module [dB]</v>
      </c>
      <c r="C184" s="31">
        <f>'General System Parameters'!C38</f>
        <v>5</v>
      </c>
      <c r="F184" s="43"/>
      <c r="G184" s="43"/>
      <c r="H184" s="43"/>
      <c r="I184" s="43"/>
      <c r="J184" s="43"/>
      <c r="K184" s="43"/>
      <c r="L184" s="43"/>
      <c r="M184" s="43"/>
      <c r="N184" s="43"/>
      <c r="O184" s="43"/>
      <c r="P184" s="43"/>
      <c r="Q184" s="43"/>
      <c r="R184" s="43"/>
      <c r="S184" s="43"/>
    </row>
    <row r="185" spans="2:19" x14ac:dyDescent="0.2">
      <c r="B185" s="37" t="str">
        <f>'General System Parameters'!B39</f>
        <v>Available Power (dBm)</v>
      </c>
      <c r="C185" s="35">
        <f>'General System Parameters'!C39</f>
        <v>56.127838567197358</v>
      </c>
      <c r="F185" s="43"/>
      <c r="G185" s="43"/>
      <c r="H185" s="43"/>
      <c r="I185" s="43"/>
      <c r="J185" s="43"/>
      <c r="K185" s="43"/>
      <c r="L185" s="43"/>
      <c r="M185" s="43"/>
      <c r="N185" s="43"/>
      <c r="O185" s="43"/>
      <c r="P185" s="43"/>
      <c r="Q185" s="43"/>
      <c r="R185" s="43"/>
      <c r="S185" s="43"/>
    </row>
    <row r="186" spans="2:19" x14ac:dyDescent="0.2">
      <c r="B186" s="37" t="str">
        <f>'General System Parameters'!B40</f>
        <v>Gt,Gr</v>
      </c>
      <c r="C186" s="35">
        <f>'General System Parameters'!C40</f>
        <v>21.127838567197355</v>
      </c>
      <c r="F186" s="43"/>
      <c r="G186" s="43"/>
      <c r="H186" s="43"/>
      <c r="I186" s="43"/>
      <c r="J186" s="43"/>
      <c r="K186" s="43"/>
      <c r="L186" s="43"/>
      <c r="M186" s="43"/>
      <c r="N186" s="43"/>
      <c r="O186" s="43"/>
      <c r="P186" s="43"/>
      <c r="Q186" s="43"/>
      <c r="R186" s="43"/>
      <c r="S186" s="43"/>
    </row>
    <row r="187" spans="2:19" x14ac:dyDescent="0.2">
      <c r="B187" s="37" t="str">
        <f>'General System Parameters'!B41</f>
        <v>Gr - 1st Rx</v>
      </c>
      <c r="C187" s="35">
        <f>'General System Parameters'!C41</f>
        <v>15</v>
      </c>
      <c r="F187" s="43"/>
      <c r="G187" s="43"/>
      <c r="H187" s="43"/>
      <c r="I187" s="43"/>
      <c r="J187" s="43"/>
      <c r="K187" s="43"/>
      <c r="L187" s="43"/>
      <c r="M187" s="43"/>
      <c r="N187" s="43"/>
      <c r="O187" s="43"/>
      <c r="P187" s="43"/>
      <c r="Q187" s="43"/>
      <c r="R187" s="43"/>
      <c r="S187" s="43"/>
    </row>
    <row r="188" spans="2:19" x14ac:dyDescent="0.2">
      <c r="B188" s="37" t="str">
        <f>'General System Parameters'!B42</f>
        <v>Gr - Ref (Guard) Rx</v>
      </c>
      <c r="C188" s="35">
        <f>'General System Parameters'!C42</f>
        <v>5</v>
      </c>
      <c r="F188" s="43"/>
      <c r="G188" s="43"/>
      <c r="H188" s="43"/>
      <c r="I188" s="43"/>
      <c r="J188" s="43"/>
      <c r="K188" s="43"/>
      <c r="L188" s="43"/>
      <c r="M188" s="43"/>
      <c r="N188" s="43"/>
      <c r="O188" s="43"/>
      <c r="P188" s="43"/>
      <c r="Q188" s="43"/>
      <c r="R188" s="43"/>
      <c r="S188" s="43"/>
    </row>
    <row r="189" spans="2:19" x14ac:dyDescent="0.2">
      <c r="B189" s="37" t="str">
        <f>'General System Parameters'!B43</f>
        <v>λ2 (dB/m2)</v>
      </c>
      <c r="C189" s="35">
        <f>'General System Parameters'!C43</f>
        <v>-21.344946828446961</v>
      </c>
      <c r="F189" s="43"/>
      <c r="G189" s="43"/>
      <c r="H189" s="43"/>
      <c r="I189" s="43"/>
      <c r="J189" s="43"/>
      <c r="K189" s="43"/>
      <c r="L189" s="43"/>
      <c r="M189" s="43"/>
      <c r="N189" s="43"/>
      <c r="O189" s="43"/>
      <c r="P189" s="43"/>
      <c r="Q189" s="43"/>
      <c r="R189" s="43"/>
      <c r="S189" s="43"/>
    </row>
    <row r="190" spans="2:19" x14ac:dyDescent="0.2">
      <c r="B190" s="34" t="str">
        <f>'General System Parameters'!B44</f>
        <v>(4p)^3 (dB)</v>
      </c>
      <c r="C190" s="35">
        <f>'General System Parameters'!C44</f>
        <v>32.976295920662885</v>
      </c>
      <c r="F190" s="43"/>
      <c r="G190" s="43"/>
      <c r="H190" s="43"/>
      <c r="I190" s="43"/>
      <c r="J190" s="43"/>
      <c r="K190" s="43"/>
      <c r="L190" s="43"/>
      <c r="M190" s="43"/>
      <c r="N190" s="43"/>
      <c r="O190" s="43"/>
      <c r="P190" s="43"/>
      <c r="Q190" s="43"/>
      <c r="R190" s="43"/>
      <c r="S190" s="43"/>
    </row>
    <row r="191" spans="2:19" x14ac:dyDescent="0.2">
      <c r="B191" s="34" t="str">
        <f>'General System Parameters'!B45</f>
        <v>Miscellaneous Losses (dB)</v>
      </c>
      <c r="C191" s="35">
        <f>'General System Parameters'!C45</f>
        <v>0</v>
      </c>
      <c r="F191" s="43"/>
      <c r="G191" s="43"/>
      <c r="H191" s="43"/>
      <c r="I191" s="43"/>
      <c r="J191" s="43"/>
      <c r="K191" s="43"/>
      <c r="L191" s="43"/>
      <c r="M191" s="43"/>
      <c r="N191" s="43"/>
      <c r="O191" s="43"/>
      <c r="P191" s="43"/>
      <c r="Q191" s="43"/>
      <c r="R191" s="43"/>
      <c r="S191" s="43"/>
    </row>
    <row r="192" spans="2:19" x14ac:dyDescent="0.2">
      <c r="B192" s="36" t="str">
        <f>'General System Parameters'!B46</f>
        <v>FFT Window: BH</v>
      </c>
      <c r="C192" s="31" t="str">
        <f>'General System Parameters'!C46</f>
        <v>BH</v>
      </c>
      <c r="F192" s="43"/>
      <c r="G192" s="43"/>
      <c r="H192" s="43"/>
      <c r="I192" s="43"/>
      <c r="J192" s="43"/>
      <c r="K192" s="43"/>
      <c r="L192" s="43"/>
      <c r="M192" s="43"/>
      <c r="N192" s="43"/>
      <c r="O192" s="43"/>
      <c r="P192" s="43"/>
      <c r="Q192" s="43"/>
      <c r="R192" s="43"/>
      <c r="S192" s="43"/>
    </row>
    <row r="193" spans="2:19" x14ac:dyDescent="0.2">
      <c r="B193" s="34" t="str">
        <f>'General System Parameters'!B47</f>
        <v>Signal Gain Loss (dB)</v>
      </c>
      <c r="C193" s="35">
        <f>'General System Parameters'!C47</f>
        <v>8.9499999999999993</v>
      </c>
      <c r="F193" s="43"/>
      <c r="G193" s="43"/>
      <c r="H193" s="43"/>
      <c r="I193" s="43"/>
      <c r="J193" s="43"/>
      <c r="K193" s="43"/>
      <c r="L193" s="43"/>
      <c r="M193" s="43"/>
      <c r="N193" s="43"/>
      <c r="O193" s="43"/>
      <c r="P193" s="43"/>
      <c r="Q193" s="43"/>
      <c r="R193" s="43"/>
      <c r="S193" s="43"/>
    </row>
    <row r="194" spans="2:19" x14ac:dyDescent="0.2">
      <c r="B194" s="34" t="str">
        <f>'General System Parameters'!B48</f>
        <v>Noise Gain Loss (dB)</v>
      </c>
      <c r="C194" s="35">
        <f>'General System Parameters'!C48</f>
        <v>5.9</v>
      </c>
      <c r="F194" s="43"/>
      <c r="G194" s="43"/>
      <c r="H194" s="43"/>
      <c r="I194" s="43"/>
      <c r="J194" s="43"/>
      <c r="K194" s="43"/>
      <c r="L194" s="43"/>
      <c r="M194" s="43"/>
      <c r="N194" s="43"/>
      <c r="O194" s="43"/>
      <c r="P194" s="43"/>
      <c r="Q194" s="43"/>
      <c r="R194" s="43"/>
      <c r="S194" s="43"/>
    </row>
    <row r="195" spans="2:19" x14ac:dyDescent="0.2">
      <c r="B195" s="34" t="str">
        <f>'General System Parameters'!B49</f>
        <v>Normalized ENBW (dB)</v>
      </c>
      <c r="C195" s="35">
        <f>'General System Parameters'!C49</f>
        <v>3.0499999999999989</v>
      </c>
      <c r="F195" s="43"/>
      <c r="G195" s="43"/>
      <c r="H195" s="43"/>
      <c r="I195" s="43"/>
      <c r="J195" s="43"/>
      <c r="K195" s="43"/>
      <c r="L195" s="43"/>
      <c r="M195" s="43"/>
      <c r="N195" s="43"/>
      <c r="O195" s="43"/>
      <c r="P195" s="43"/>
      <c r="Q195" s="43"/>
      <c r="R195" s="43"/>
      <c r="S195" s="43"/>
    </row>
    <row r="196" spans="2:19" x14ac:dyDescent="0.2">
      <c r="B196" s="34" t="str">
        <f>'General System Parameters'!B50</f>
        <v>Window 3dB BW (bins)</v>
      </c>
      <c r="C196" s="35">
        <f>'General System Parameters'!C50</f>
        <v>1.9</v>
      </c>
      <c r="F196" s="43"/>
      <c r="G196" s="43"/>
      <c r="H196" s="43"/>
      <c r="I196" s="43"/>
      <c r="J196" s="43"/>
      <c r="K196" s="43"/>
      <c r="L196" s="43"/>
      <c r="M196" s="43"/>
      <c r="N196" s="43"/>
      <c r="O196" s="43"/>
      <c r="P196" s="43"/>
      <c r="Q196" s="43"/>
      <c r="R196" s="43"/>
      <c r="S196" s="43"/>
    </row>
    <row r="197" spans="2:19" x14ac:dyDescent="0.2">
      <c r="B197" s="34" t="str">
        <f>'General System Parameters'!B51</f>
        <v>Window 6dB BW (bins)</v>
      </c>
      <c r="C197" s="35">
        <f>'General System Parameters'!C51</f>
        <v>2.72</v>
      </c>
      <c r="F197" s="43"/>
      <c r="G197" s="43"/>
      <c r="H197" s="43"/>
      <c r="I197" s="43"/>
      <c r="J197" s="43"/>
      <c r="K197" s="43"/>
      <c r="L197" s="43"/>
      <c r="M197" s="43"/>
      <c r="N197" s="43"/>
      <c r="O197" s="43"/>
      <c r="P197" s="43"/>
      <c r="Q197" s="43"/>
      <c r="R197" s="43"/>
      <c r="S197" s="43"/>
    </row>
    <row r="198" spans="2:19" x14ac:dyDescent="0.2">
      <c r="B198" s="34" t="str">
        <f>'General System Parameters'!B52</f>
        <v>Scallop Loss (dB)</v>
      </c>
      <c r="C198" s="35">
        <f>'General System Parameters'!C52</f>
        <v>0.41278500000000001</v>
      </c>
      <c r="F198" s="43"/>
      <c r="G198" s="43"/>
      <c r="H198" s="43"/>
      <c r="I198" s="43"/>
      <c r="J198" s="43"/>
      <c r="K198" s="43"/>
      <c r="L198" s="43"/>
      <c r="M198" s="43"/>
      <c r="N198" s="43"/>
      <c r="O198" s="43"/>
      <c r="P198" s="43"/>
      <c r="Q198" s="43"/>
      <c r="R198" s="43"/>
      <c r="S198" s="43"/>
    </row>
    <row r="199" spans="2:19" x14ac:dyDescent="0.2">
      <c r="B199" s="32" t="str">
        <f>'General System Parameters'!B53</f>
        <v>Rectangular 6dB BW (bins)</v>
      </c>
      <c r="C199" s="33">
        <f>'General System Parameters'!C53</f>
        <v>1.21</v>
      </c>
      <c r="F199" s="43"/>
      <c r="G199" s="43"/>
      <c r="H199" s="43"/>
      <c r="I199" s="43"/>
      <c r="J199" s="43"/>
      <c r="K199" s="43"/>
      <c r="L199" s="43"/>
      <c r="M199" s="43"/>
      <c r="N199" s="43"/>
      <c r="O199" s="43"/>
      <c r="P199" s="43"/>
      <c r="Q199" s="43"/>
      <c r="R199" s="43"/>
      <c r="S199" s="43"/>
    </row>
    <row r="200" spans="2:19" x14ac:dyDescent="0.2">
      <c r="B200" s="34" t="str">
        <f>'General System Parameters'!B54</f>
        <v>Window Peak Spreading (bins)</v>
      </c>
      <c r="C200" s="35">
        <f>'General System Parameters'!C54</f>
        <v>9</v>
      </c>
      <c r="F200" s="43"/>
      <c r="G200" s="43"/>
      <c r="H200" s="43"/>
      <c r="I200" s="43"/>
      <c r="J200" s="43"/>
      <c r="K200" s="43"/>
      <c r="L200" s="43"/>
      <c r="M200" s="43"/>
      <c r="N200" s="43"/>
      <c r="O200" s="43"/>
      <c r="P200" s="43"/>
      <c r="Q200" s="43"/>
      <c r="R200" s="43"/>
      <c r="S200" s="43"/>
    </row>
    <row r="201" spans="2:19" x14ac:dyDescent="0.2">
      <c r="B201" s="36" t="str">
        <f>'General System Parameters'!B55</f>
        <v>#samples for noise estimation</v>
      </c>
      <c r="C201" s="31">
        <f>'General System Parameters'!C55</f>
        <v>12</v>
      </c>
      <c r="F201" s="43"/>
      <c r="G201" s="43"/>
      <c r="H201" s="43"/>
      <c r="I201" s="43"/>
      <c r="J201" s="43"/>
      <c r="K201" s="43"/>
      <c r="L201" s="43"/>
      <c r="M201" s="43"/>
      <c r="N201" s="43"/>
      <c r="O201" s="43"/>
      <c r="P201" s="43"/>
      <c r="Q201" s="43"/>
      <c r="R201" s="43"/>
      <c r="S201" s="43"/>
    </row>
    <row r="202" spans="2:19" x14ac:dyDescent="0.2">
      <c r="B202" s="34" t="str">
        <f>'General System Parameters'!B56</f>
        <v>Straddling Loss (dB) - w/o OL</v>
      </c>
      <c r="C202" s="35">
        <f>'General System Parameters'!C56</f>
        <v>3</v>
      </c>
    </row>
    <row r="203" spans="2:19" x14ac:dyDescent="0.2">
      <c r="B203" s="34" t="str">
        <f>'General System Parameters'!B57</f>
        <v>Straddling Loss (dB) - with 50% OL</v>
      </c>
      <c r="C203" s="35">
        <f>'General System Parameters'!C57</f>
        <v>1.25</v>
      </c>
    </row>
    <row r="204" spans="2:19" x14ac:dyDescent="0.2">
      <c r="B204" s="30" t="str">
        <f>'General System Parameters'!B58</f>
        <v>Freq Desynchronization factor (ppb)</v>
      </c>
      <c r="C204" s="31">
        <f>'General System Parameters'!C58</f>
        <v>5</v>
      </c>
    </row>
    <row r="205" spans="2:19" x14ac:dyDescent="0.2">
      <c r="B205" s="34" t="str">
        <f>'General System Parameters'!B59</f>
        <v>Freq Desynchronization factor (Hz)</v>
      </c>
      <c r="C205" s="35">
        <f>'General System Parameters'!C59</f>
        <v>17.5</v>
      </c>
    </row>
    <row r="206" spans="2:19" x14ac:dyDescent="0.2">
      <c r="B206" s="34" t="str">
        <f>'General System Parameters'!B60</f>
        <v>Freq Desynchronization factor (m/s)</v>
      </c>
      <c r="C206" s="35">
        <f>'General System Parameters'!C60</f>
        <v>0.74948114500000007</v>
      </c>
    </row>
    <row r="207" spans="2:19" x14ac:dyDescent="0.2">
      <c r="B207" s="30" t="str">
        <f>'General System Parameters'!B61</f>
        <v>Time Desynchronization factor (ppm)</v>
      </c>
      <c r="C207" s="31">
        <f>'General System Parameters'!C61</f>
        <v>0.2</v>
      </c>
    </row>
    <row r="208" spans="2:19" x14ac:dyDescent="0.2">
      <c r="B208" s="30" t="str">
        <f>'General System Parameters'!B62</f>
        <v>Synchronization window per seq (μs)</v>
      </c>
      <c r="C208" s="31">
        <f>'General System Parameters'!C62</f>
        <v>0.1</v>
      </c>
    </row>
    <row r="209" spans="2:3" x14ac:dyDescent="0.2">
      <c r="B209" s="117" t="str">
        <f>'General System Parameters'!B63</f>
        <v>#RG in Optimized Mode (one side)</v>
      </c>
      <c r="C209" s="118">
        <f>'General System Parameters'!C63</f>
        <v>7</v>
      </c>
    </row>
    <row r="210" spans="2:3" x14ac:dyDescent="0.2">
      <c r="B210" s="30" t="str">
        <f>'General System Parameters'!B64</f>
        <v>Total #RG in Optimized Mode</v>
      </c>
      <c r="C210" s="31">
        <f>'General System Parameters'!C64</f>
        <v>15</v>
      </c>
    </row>
  </sheetData>
  <mergeCells count="4">
    <mergeCell ref="B150:D150"/>
    <mergeCell ref="C1:D1"/>
    <mergeCell ref="E1:T1"/>
    <mergeCell ref="B145:D145"/>
  </mergeCells>
  <conditionalFormatting sqref="C61:D61">
    <cfRule type="cellIs" dxfId="51" priority="8" operator="greaterThan">
      <formula>3</formula>
    </cfRule>
  </conditionalFormatting>
  <conditionalFormatting sqref="C49">
    <cfRule type="cellIs" dxfId="50" priority="2" operator="greaterThan">
      <formula>"2&amp;&amp;$C$57&gt;$C$58"</formula>
    </cfRule>
  </conditionalFormatting>
  <conditionalFormatting sqref="C59">
    <cfRule type="expression" dxfId="49" priority="1">
      <formula>AND($C$61 &gt; $C$52, $C$51&gt;1)</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Z210"/>
  <sheetViews>
    <sheetView topLeftCell="A10" zoomScaleNormal="100" workbookViewId="0">
      <selection activeCell="I68" sqref="I68"/>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33" t="str">
        <f>'Parameters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'Parameters List'!B4</f>
        <v>Antenna Number (1 or 2)</v>
      </c>
      <c r="C4" s="49"/>
      <c r="D4" s="49"/>
      <c r="E4" s="50">
        <v>1</v>
      </c>
      <c r="F4" s="50">
        <v>1</v>
      </c>
      <c r="G4" s="50">
        <v>1</v>
      </c>
      <c r="H4" s="50">
        <v>1</v>
      </c>
      <c r="I4" s="50">
        <v>1</v>
      </c>
      <c r="J4" s="50">
        <v>1</v>
      </c>
      <c r="K4" s="50">
        <v>1</v>
      </c>
      <c r="L4" s="50">
        <v>1</v>
      </c>
      <c r="M4" s="50">
        <v>1</v>
      </c>
      <c r="N4" s="50">
        <v>1</v>
      </c>
      <c r="O4" s="50">
        <v>1</v>
      </c>
      <c r="P4" s="50">
        <v>1</v>
      </c>
      <c r="Q4" s="50">
        <v>1</v>
      </c>
      <c r="R4" s="50">
        <v>1</v>
      </c>
      <c r="S4" s="50">
        <v>1</v>
      </c>
      <c r="T4" s="50">
        <v>1</v>
      </c>
      <c r="U4" s="50">
        <v>1</v>
      </c>
      <c r="V4" s="50">
        <v>1</v>
      </c>
      <c r="W4" s="50">
        <v>1</v>
      </c>
      <c r="X4" s="50">
        <v>1</v>
      </c>
      <c r="Y4" s="50">
        <v>1</v>
      </c>
      <c r="Z4" s="50">
        <v>1</v>
      </c>
      <c r="AA4" s="50">
        <v>1</v>
      </c>
      <c r="AB4" s="50">
        <v>1</v>
      </c>
      <c r="AC4" s="50">
        <v>1</v>
      </c>
      <c r="AD4" s="50">
        <v>1</v>
      </c>
      <c r="AE4" s="50">
        <v>1</v>
      </c>
      <c r="AF4" s="50">
        <v>1</v>
      </c>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'Parameters List'!B5</f>
        <v>Steer Az (clockwise - positive)</v>
      </c>
      <c r="C5" s="49"/>
      <c r="D5" s="49"/>
      <c r="E5" s="50">
        <v>-42</v>
      </c>
      <c r="F5" s="50">
        <v>-30</v>
      </c>
      <c r="G5" s="50">
        <v>-18</v>
      </c>
      <c r="H5" s="50">
        <v>-6</v>
      </c>
      <c r="I5" s="50">
        <v>6</v>
      </c>
      <c r="J5" s="50">
        <v>18</v>
      </c>
      <c r="K5" s="50">
        <v>30</v>
      </c>
      <c r="L5" s="50">
        <v>42</v>
      </c>
      <c r="M5" s="50">
        <v>-42</v>
      </c>
      <c r="N5" s="50">
        <v>-27</v>
      </c>
      <c r="O5" s="50">
        <v>-14</v>
      </c>
      <c r="P5" s="50">
        <v>-1</v>
      </c>
      <c r="Q5" s="50">
        <v>11</v>
      </c>
      <c r="R5" s="50">
        <v>24</v>
      </c>
      <c r="S5" s="50">
        <v>39</v>
      </c>
      <c r="T5" s="50">
        <v>-38</v>
      </c>
      <c r="U5" s="50">
        <v>-24</v>
      </c>
      <c r="V5" s="50">
        <v>-11</v>
      </c>
      <c r="W5" s="50">
        <v>2</v>
      </c>
      <c r="X5" s="50">
        <v>15</v>
      </c>
      <c r="Y5" s="50">
        <v>28</v>
      </c>
      <c r="Z5" s="50">
        <v>42</v>
      </c>
      <c r="AA5" s="50">
        <v>-40</v>
      </c>
      <c r="AB5" s="50">
        <v>-24</v>
      </c>
      <c r="AC5" s="50">
        <v>-8</v>
      </c>
      <c r="AD5" s="50">
        <v>8</v>
      </c>
      <c r="AE5" s="50">
        <v>24</v>
      </c>
      <c r="AF5" s="50">
        <v>40</v>
      </c>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'Parameters List'!B6</f>
        <v>Steer El (up - positive)</v>
      </c>
      <c r="C6" s="49"/>
      <c r="D6" s="49"/>
      <c r="E6" s="50">
        <v>6</v>
      </c>
      <c r="F6" s="50">
        <v>6</v>
      </c>
      <c r="G6" s="50">
        <v>6</v>
      </c>
      <c r="H6" s="50">
        <v>6</v>
      </c>
      <c r="I6" s="50">
        <v>6</v>
      </c>
      <c r="J6" s="50">
        <v>6</v>
      </c>
      <c r="K6" s="50">
        <v>6</v>
      </c>
      <c r="L6" s="50">
        <v>6</v>
      </c>
      <c r="M6" s="50">
        <v>17</v>
      </c>
      <c r="N6" s="50">
        <v>17</v>
      </c>
      <c r="O6" s="50">
        <v>17</v>
      </c>
      <c r="P6" s="50">
        <v>17</v>
      </c>
      <c r="Q6" s="50">
        <v>17</v>
      </c>
      <c r="R6" s="50">
        <v>17</v>
      </c>
      <c r="S6" s="50">
        <v>17</v>
      </c>
      <c r="T6" s="50">
        <v>28</v>
      </c>
      <c r="U6" s="50">
        <v>28</v>
      </c>
      <c r="V6" s="50">
        <v>28</v>
      </c>
      <c r="W6" s="50">
        <v>28</v>
      </c>
      <c r="X6" s="50">
        <v>28</v>
      </c>
      <c r="Y6" s="50">
        <v>28</v>
      </c>
      <c r="Z6" s="50">
        <v>28</v>
      </c>
      <c r="AA6" s="50">
        <v>40</v>
      </c>
      <c r="AB6" s="50">
        <v>40</v>
      </c>
      <c r="AC6" s="50">
        <v>40</v>
      </c>
      <c r="AD6" s="50">
        <v>40</v>
      </c>
      <c r="AE6" s="50">
        <v>40</v>
      </c>
      <c r="AF6" s="50">
        <v>40</v>
      </c>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'Parameters List'!B9</f>
        <v>Antenna Number (1 or 2)</v>
      </c>
      <c r="C9" s="49"/>
      <c r="D9" s="49"/>
      <c r="E9" s="50">
        <v>1</v>
      </c>
      <c r="F9" s="50">
        <v>1</v>
      </c>
      <c r="G9" s="50">
        <v>1</v>
      </c>
      <c r="H9" s="50">
        <v>1</v>
      </c>
      <c r="I9" s="50">
        <v>1</v>
      </c>
      <c r="J9" s="50">
        <v>1</v>
      </c>
      <c r="K9" s="50">
        <v>1</v>
      </c>
      <c r="L9" s="50">
        <v>1</v>
      </c>
      <c r="M9" s="50">
        <v>1</v>
      </c>
      <c r="N9" s="50">
        <v>1</v>
      </c>
      <c r="O9" s="50">
        <v>1</v>
      </c>
      <c r="P9" s="50">
        <v>1</v>
      </c>
      <c r="Q9" s="50">
        <v>1</v>
      </c>
      <c r="R9" s="50">
        <v>1</v>
      </c>
      <c r="S9" s="50">
        <v>1</v>
      </c>
      <c r="T9" s="50">
        <v>1</v>
      </c>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'Parameters List'!B10</f>
        <v>Steer Az (clockwise - positive)</v>
      </c>
      <c r="C10" s="49"/>
      <c r="D10" s="49"/>
      <c r="E10" s="50">
        <v>-40</v>
      </c>
      <c r="F10" s="50">
        <v>-28</v>
      </c>
      <c r="G10" s="50">
        <v>-16</v>
      </c>
      <c r="H10" s="50">
        <v>-4</v>
      </c>
      <c r="I10" s="50">
        <v>8</v>
      </c>
      <c r="J10" s="50">
        <v>20</v>
      </c>
      <c r="K10" s="50">
        <v>32</v>
      </c>
      <c r="L10" s="50">
        <v>44</v>
      </c>
      <c r="M10" s="50">
        <v>-44</v>
      </c>
      <c r="N10" s="50">
        <v>-32</v>
      </c>
      <c r="O10" s="50">
        <v>-20</v>
      </c>
      <c r="P10" s="50">
        <v>-8</v>
      </c>
      <c r="Q10" s="50">
        <v>4</v>
      </c>
      <c r="R10" s="50">
        <v>16</v>
      </c>
      <c r="S10" s="50">
        <v>28</v>
      </c>
      <c r="T10" s="50">
        <v>40</v>
      </c>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'Parameters List'!B11</f>
        <v>Steer El (up - positive)</v>
      </c>
      <c r="C11" s="49"/>
      <c r="D11" s="49"/>
      <c r="E11" s="50">
        <v>6</v>
      </c>
      <c r="F11" s="50">
        <v>6</v>
      </c>
      <c r="G11" s="50">
        <v>6</v>
      </c>
      <c r="H11" s="50">
        <v>6</v>
      </c>
      <c r="I11" s="50">
        <v>6</v>
      </c>
      <c r="J11" s="50">
        <v>6</v>
      </c>
      <c r="K11" s="50">
        <v>6</v>
      </c>
      <c r="L11" s="50">
        <v>6</v>
      </c>
      <c r="M11" s="50">
        <v>17</v>
      </c>
      <c r="N11" s="50">
        <v>17</v>
      </c>
      <c r="O11" s="50">
        <v>17</v>
      </c>
      <c r="P11" s="50">
        <v>17</v>
      </c>
      <c r="Q11" s="50">
        <v>17</v>
      </c>
      <c r="R11" s="50">
        <v>17</v>
      </c>
      <c r="S11" s="50">
        <v>17</v>
      </c>
      <c r="T11" s="50">
        <v>17</v>
      </c>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'Parameters List'!B13</f>
        <v>Processing Channel Number (1 or 2)</v>
      </c>
      <c r="C13" s="49"/>
      <c r="D13" s="49"/>
      <c r="E13" s="33">
        <v>1</v>
      </c>
      <c r="F13" s="33">
        <v>1</v>
      </c>
      <c r="G13" s="33">
        <v>1</v>
      </c>
      <c r="H13" s="33">
        <v>1</v>
      </c>
      <c r="I13" s="33">
        <v>1</v>
      </c>
      <c r="J13" s="33">
        <v>1</v>
      </c>
      <c r="K13" s="33">
        <v>1</v>
      </c>
      <c r="L13" s="33">
        <v>2</v>
      </c>
      <c r="M13" s="33">
        <v>2</v>
      </c>
      <c r="N13" s="33">
        <v>2</v>
      </c>
      <c r="O13" s="33">
        <v>2</v>
      </c>
      <c r="P13" s="33"/>
      <c r="Q13" s="33"/>
      <c r="R13" s="33"/>
      <c r="S13" s="33"/>
      <c r="T13" s="33"/>
      <c r="U13" s="33"/>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'Parameters List'!B14</f>
        <v>Beam type (relative to processing channel)</v>
      </c>
      <c r="C14" s="49"/>
      <c r="D14" s="49"/>
      <c r="E14" s="33">
        <v>1</v>
      </c>
      <c r="F14" s="33">
        <v>2</v>
      </c>
      <c r="G14" s="33">
        <v>3</v>
      </c>
      <c r="H14" s="33">
        <v>4</v>
      </c>
      <c r="I14" s="33">
        <v>5</v>
      </c>
      <c r="J14" s="33">
        <v>6</v>
      </c>
      <c r="K14" s="33">
        <v>7</v>
      </c>
      <c r="L14" s="33">
        <v>1</v>
      </c>
      <c r="M14" s="33">
        <v>2</v>
      </c>
      <c r="N14" s="33">
        <v>3</v>
      </c>
      <c r="O14" s="33">
        <v>4</v>
      </c>
      <c r="P14" s="33"/>
      <c r="Q14" s="33"/>
      <c r="R14" s="33"/>
      <c r="S14" s="33"/>
      <c r="T14" s="33"/>
      <c r="U14" s="33"/>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'Parameters List'!B15</f>
        <v>Stagger number (1 or 2)</v>
      </c>
      <c r="C15" s="58"/>
      <c r="D15" s="58"/>
      <c r="E15" s="33">
        <v>1</v>
      </c>
      <c r="F15" s="33">
        <v>1</v>
      </c>
      <c r="G15" s="33">
        <v>1</v>
      </c>
      <c r="H15" s="33">
        <v>1</v>
      </c>
      <c r="I15" s="33">
        <v>1</v>
      </c>
      <c r="J15" s="33">
        <v>1</v>
      </c>
      <c r="K15" s="33">
        <v>1</v>
      </c>
      <c r="L15" s="33">
        <v>1</v>
      </c>
      <c r="M15" s="33">
        <v>1</v>
      </c>
      <c r="N15" s="33">
        <v>1</v>
      </c>
      <c r="O15" s="33">
        <v>1</v>
      </c>
      <c r="P15" s="33"/>
      <c r="Q15" s="33"/>
      <c r="R15" s="33"/>
      <c r="S15" s="33"/>
      <c r="T15" s="33"/>
      <c r="U15" s="33"/>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'Parameters List'!B16</f>
        <v>Receiving Patch Group (1 or 2)</v>
      </c>
      <c r="C16" s="58"/>
      <c r="D16" s="58"/>
      <c r="E16" s="33">
        <v>1</v>
      </c>
      <c r="F16" s="33">
        <v>1</v>
      </c>
      <c r="G16" s="33">
        <v>1</v>
      </c>
      <c r="H16" s="33">
        <v>1</v>
      </c>
      <c r="I16" s="33">
        <v>1</v>
      </c>
      <c r="J16" s="33">
        <v>1</v>
      </c>
      <c r="K16" s="33">
        <v>1</v>
      </c>
      <c r="L16" s="33">
        <v>1</v>
      </c>
      <c r="M16" s="33">
        <v>1</v>
      </c>
      <c r="N16" s="33">
        <v>1</v>
      </c>
      <c r="O16" s="33">
        <v>1</v>
      </c>
      <c r="P16" s="33"/>
      <c r="Q16" s="33"/>
      <c r="R16" s="33"/>
      <c r="S16" s="33"/>
      <c r="T16" s="33"/>
      <c r="U16" s="33"/>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'Parameters List'!B17</f>
        <v>Tracking (0 or 1)</v>
      </c>
      <c r="C17" s="58"/>
      <c r="D17" s="58"/>
      <c r="E17" s="33">
        <v>0</v>
      </c>
      <c r="F17" s="33">
        <v>0</v>
      </c>
      <c r="G17" s="33">
        <v>0</v>
      </c>
      <c r="H17" s="33">
        <v>0</v>
      </c>
      <c r="I17" s="33">
        <v>0</v>
      </c>
      <c r="J17" s="33">
        <v>0</v>
      </c>
      <c r="K17" s="33">
        <v>0</v>
      </c>
      <c r="L17" s="33">
        <v>0</v>
      </c>
      <c r="M17" s="33">
        <v>0</v>
      </c>
      <c r="N17" s="33">
        <v>0</v>
      </c>
      <c r="O17" s="33">
        <v>0</v>
      </c>
      <c r="P17" s="33"/>
      <c r="Q17" s="33"/>
      <c r="R17" s="33"/>
      <c r="S17" s="33"/>
      <c r="T17" s="33"/>
      <c r="U17" s="33"/>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'Parameters List'!B18</f>
        <v>Stagger PRI Sequence (Chip Units)</v>
      </c>
      <c r="C18" s="58"/>
      <c r="D18" s="58"/>
      <c r="E18" s="123">
        <f t="shared" ref="E18:AJ18" si="0">IF(E$13=1, (E$14-1)*$C$31,IF(E$13=2,((E$14-1)*$D$31),""))</f>
        <v>0</v>
      </c>
      <c r="F18" s="123">
        <f t="shared" si="0"/>
        <v>1</v>
      </c>
      <c r="G18" s="123">
        <f t="shared" si="0"/>
        <v>2</v>
      </c>
      <c r="H18" s="123">
        <f t="shared" si="0"/>
        <v>3</v>
      </c>
      <c r="I18" s="123">
        <f t="shared" si="0"/>
        <v>4</v>
      </c>
      <c r="J18" s="123">
        <f t="shared" si="0"/>
        <v>5</v>
      </c>
      <c r="K18" s="123">
        <f t="shared" si="0"/>
        <v>6</v>
      </c>
      <c r="L18" s="123">
        <f t="shared" si="0"/>
        <v>0</v>
      </c>
      <c r="M18" s="123">
        <f t="shared" si="0"/>
        <v>1</v>
      </c>
      <c r="N18" s="123">
        <f t="shared" si="0"/>
        <v>2</v>
      </c>
      <c r="O18" s="123">
        <f t="shared" si="0"/>
        <v>3</v>
      </c>
      <c r="P18" s="123"/>
      <c r="Q18" s="123"/>
      <c r="R18" s="123"/>
      <c r="S18" s="123"/>
      <c r="T18" s="123"/>
      <c r="U18" s="123"/>
      <c r="V18" s="123"/>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CONCATENATE('XML File Parameters'!D2," XMLver",'XML File Parameters'!D3,".",'XML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'Parameters List'!B21</f>
        <v>Apply RG Optimization</v>
      </c>
      <c r="C21" s="64"/>
      <c r="D21" s="64"/>
      <c r="F21" s="43"/>
      <c r="G21" s="43"/>
      <c r="H21" s="43">
        <v>4</v>
      </c>
      <c r="I21" s="43"/>
      <c r="J21" s="43"/>
      <c r="K21" s="43"/>
      <c r="L21" s="43"/>
      <c r="M21" s="43"/>
      <c r="N21" s="43"/>
      <c r="O21" s="43"/>
      <c r="P21" s="43"/>
      <c r="Q21" s="43"/>
      <c r="R21" s="43"/>
      <c r="S21" s="43"/>
    </row>
    <row r="22" spans="1:78" x14ac:dyDescent="0.2">
      <c r="A22" s="91" t="s">
        <v>78</v>
      </c>
      <c r="B22" s="104" t="str">
        <f>'Parameters List'!B22</f>
        <v>Sequential Repetition</v>
      </c>
      <c r="C22" s="64">
        <v>4</v>
      </c>
      <c r="D22" s="64">
        <v>4</v>
      </c>
      <c r="E22" s="6">
        <f>C22*C30</f>
        <v>234.2912</v>
      </c>
      <c r="F22" s="6">
        <f>D22*D30</f>
        <v>234.2912</v>
      </c>
      <c r="G22" s="43"/>
      <c r="H22" s="43">
        <f>C30*H21+'General System Parameters'!C4*MAX(Track1!C30,Track2!C30)</f>
        <v>317.44</v>
      </c>
      <c r="I22" s="43"/>
      <c r="J22" s="43">
        <f>D22/H21*'General System Parameters'!C5</f>
        <v>0.32</v>
      </c>
      <c r="K22" s="43"/>
      <c r="L22" s="43"/>
      <c r="M22" s="43"/>
      <c r="N22" s="43"/>
      <c r="O22" s="43"/>
      <c r="P22" s="43"/>
      <c r="Q22" s="43"/>
      <c r="R22" s="43"/>
      <c r="S22" s="43"/>
    </row>
    <row r="23" spans="1:78" x14ac:dyDescent="0.2">
      <c r="A23" s="91" t="s">
        <v>78</v>
      </c>
      <c r="B23" s="104" t="str">
        <f>'Parameters List'!B23</f>
        <v>Max Dets to process</v>
      </c>
      <c r="C23" s="64">
        <v>256</v>
      </c>
      <c r="D23" s="64">
        <v>256</v>
      </c>
      <c r="E23" s="65"/>
      <c r="F23" s="43"/>
      <c r="G23" s="43"/>
      <c r="H23" s="43"/>
      <c r="I23" s="43"/>
      <c r="J23" s="43"/>
      <c r="K23" s="43"/>
      <c r="L23" s="43"/>
      <c r="M23" s="43"/>
      <c r="N23" s="43"/>
      <c r="O23" s="43"/>
      <c r="P23" s="43"/>
      <c r="Q23" s="43"/>
      <c r="R23" s="43"/>
      <c r="S23" s="43"/>
    </row>
    <row r="24" spans="1:78" x14ac:dyDescent="0.2">
      <c r="A24" s="91"/>
      <c r="B24" s="95" t="str">
        <f>'Parameters List'!B24</f>
        <v>Number of Steers</v>
      </c>
      <c r="C24" s="33">
        <f>COUNTIF(E$4:BP$4,"&gt;0")</f>
        <v>28</v>
      </c>
      <c r="D24" s="33">
        <f>COUNTIF(E$9:BP$9,"&gt;0")</f>
        <v>16</v>
      </c>
      <c r="E24" s="65"/>
      <c r="F24" s="43"/>
      <c r="G24" s="43"/>
      <c r="H24" s="43"/>
      <c r="I24" s="43"/>
      <c r="J24" s="43"/>
      <c r="K24" s="43"/>
      <c r="L24" s="43"/>
      <c r="M24" s="43"/>
      <c r="N24" s="43"/>
      <c r="O24" s="43"/>
      <c r="P24" s="43"/>
      <c r="Q24" s="43"/>
      <c r="R24" s="43"/>
      <c r="S24" s="43"/>
    </row>
    <row r="25" spans="1:78" x14ac:dyDescent="0.2">
      <c r="A25" s="91"/>
      <c r="B25" s="95" t="str">
        <f>'Parameters List'!B25</f>
        <v>Number of Beam Types</v>
      </c>
      <c r="C25" s="33">
        <f>COUNTIFS($E$13:$AJ$13,"=1",$E$15:$AJ$15,"=1")</f>
        <v>7</v>
      </c>
      <c r="D25" s="33">
        <f>COUNTIFS($E$13:$AJ$13,"=2",$E$15:$AJ$15,"=1")</f>
        <v>4</v>
      </c>
      <c r="E25" s="65"/>
      <c r="F25" s="43"/>
      <c r="G25" s="43"/>
      <c r="H25" s="43"/>
      <c r="I25" s="43"/>
      <c r="J25" s="43"/>
      <c r="K25" s="43"/>
      <c r="L25" s="43"/>
      <c r="M25" s="43"/>
      <c r="N25" s="43"/>
      <c r="O25" s="43"/>
      <c r="P25" s="43"/>
      <c r="Q25" s="43"/>
      <c r="R25" s="43"/>
      <c r="S25" s="43"/>
    </row>
    <row r="26" spans="1:78" x14ac:dyDescent="0.2">
      <c r="A26" s="91"/>
      <c r="B26" s="95" t="str">
        <f>'Parameters List'!B26</f>
        <v>Number of Beams</v>
      </c>
      <c r="C26" s="33">
        <f>COUNTIF($E$13:$AJ$13,"=1")</f>
        <v>7</v>
      </c>
      <c r="D26" s="33">
        <f>COUNTIF($E$13:$AJ$13,"=2")</f>
        <v>4</v>
      </c>
      <c r="E26" s="65"/>
      <c r="F26" s="43"/>
      <c r="G26" s="43"/>
      <c r="H26" s="43"/>
      <c r="I26" s="43"/>
      <c r="J26" s="43"/>
      <c r="K26" s="43"/>
      <c r="L26" s="43"/>
      <c r="M26" s="43"/>
      <c r="N26" s="43"/>
      <c r="O26" s="43"/>
      <c r="P26" s="43"/>
      <c r="Q26" s="43"/>
      <c r="R26" s="43"/>
      <c r="S26" s="43"/>
    </row>
    <row r="27" spans="1:78" x14ac:dyDescent="0.2">
      <c r="A27" s="91"/>
      <c r="B27" s="95" t="str">
        <f>'Parameters List'!B27</f>
        <v>Number of Beams at Antenna1</v>
      </c>
      <c r="C27" s="33">
        <f>IF(COUNTIF($E$4:$BP$4,"=1")&gt;=C$25,C$26,COUNTIF($E$4:$BP$4,"=1")*C$26/C$25)</f>
        <v>7</v>
      </c>
      <c r="D27" s="33">
        <f>IF(COUNTIF($E$9:$BP$9,"=1")&gt;=D$25,D$26,COUNTIF($E$9:$BP$9,"=1")*D$26/D$25)</f>
        <v>4</v>
      </c>
      <c r="E27" s="65"/>
      <c r="F27" s="43"/>
      <c r="G27" s="43"/>
      <c r="H27" s="43"/>
      <c r="I27" s="43"/>
      <c r="J27" s="43"/>
      <c r="K27" s="43"/>
      <c r="L27" s="43"/>
      <c r="M27" s="43"/>
      <c r="N27" s="43"/>
      <c r="O27" s="43"/>
      <c r="P27" s="43"/>
      <c r="Q27" s="43"/>
      <c r="R27" s="43"/>
      <c r="S27" s="43"/>
    </row>
    <row r="28" spans="1:78" x14ac:dyDescent="0.2">
      <c r="A28" s="91"/>
      <c r="B28" s="95" t="str">
        <f>'Parameters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'Parameters List'!B29</f>
        <v>Desired CPI (ms)</v>
      </c>
      <c r="C29" s="64">
        <v>59</v>
      </c>
      <c r="D29" s="64">
        <v>59</v>
      </c>
      <c r="G29" s="43"/>
      <c r="H29" s="43"/>
      <c r="I29" s="43"/>
      <c r="J29" s="43"/>
      <c r="K29" s="43"/>
      <c r="L29" s="43"/>
      <c r="M29" s="43"/>
      <c r="N29" s="43"/>
      <c r="O29" s="43"/>
      <c r="P29" s="43"/>
      <c r="Q29" s="43"/>
      <c r="R29" s="43"/>
      <c r="S29" s="43"/>
    </row>
    <row r="30" spans="1:78" x14ac:dyDescent="0.2">
      <c r="A30" s="91" t="s">
        <v>78</v>
      </c>
      <c r="B30" s="95" t="str">
        <f>'Parameters List'!B30</f>
        <v>Actual CPI (ms)</v>
      </c>
      <c r="C30" s="33">
        <f>(C$49*$C$104*C$51)/1000</f>
        <v>58.572800000000001</v>
      </c>
      <c r="D30" s="33">
        <f>(D$49*$C$104*D$51)/1000</f>
        <v>58.572800000000001</v>
      </c>
      <c r="F30" s="43"/>
      <c r="G30" s="43"/>
      <c r="H30" s="43"/>
      <c r="I30" s="43"/>
      <c r="J30" s="43"/>
      <c r="K30" s="43"/>
      <c r="L30" s="43"/>
      <c r="M30" s="43"/>
      <c r="N30" s="43"/>
      <c r="O30" s="43"/>
      <c r="P30" s="43"/>
      <c r="Q30" s="43"/>
      <c r="R30" s="43"/>
      <c r="S30" s="43"/>
    </row>
    <row r="31" spans="1:78" x14ac:dyDescent="0.2">
      <c r="A31" s="91" t="s">
        <v>78</v>
      </c>
      <c r="B31" s="94" t="str">
        <f>'Parameters List'!B31</f>
        <v>Multi Stagger - PRI Ext (in Chip Units)</v>
      </c>
      <c r="C31" s="64">
        <v>1</v>
      </c>
      <c r="D31" s="64">
        <v>1</v>
      </c>
      <c r="E31" s="65"/>
      <c r="F31" s="119"/>
      <c r="G31" s="43"/>
      <c r="H31" s="43"/>
      <c r="I31" s="43"/>
      <c r="J31" s="43"/>
      <c r="K31" s="43"/>
      <c r="L31" s="43"/>
      <c r="M31" s="43"/>
      <c r="N31" s="43"/>
      <c r="O31" s="43"/>
      <c r="P31" s="43"/>
      <c r="Q31" s="43"/>
      <c r="R31" s="43"/>
      <c r="S31" s="43"/>
    </row>
    <row r="32" spans="1:78" x14ac:dyDescent="0.2">
      <c r="A32" s="91" t="s">
        <v>78</v>
      </c>
      <c r="B32" s="94" t="str">
        <f>'Parameters List'!B32</f>
        <v>Stagger1 PRI (µs)</v>
      </c>
      <c r="C32" s="64">
        <v>8.5</v>
      </c>
      <c r="D32" s="64">
        <v>40.5</v>
      </c>
      <c r="F32" s="43"/>
      <c r="G32" s="43"/>
      <c r="H32" s="43"/>
      <c r="I32" s="43"/>
      <c r="J32" s="43"/>
      <c r="K32" s="43"/>
      <c r="L32" s="43"/>
      <c r="M32" s="43"/>
      <c r="N32" s="43"/>
      <c r="O32" s="43"/>
      <c r="P32" s="43"/>
      <c r="Q32" s="43"/>
      <c r="R32" s="43"/>
      <c r="S32" s="43"/>
    </row>
    <row r="33" spans="1:19" x14ac:dyDescent="0.2">
      <c r="A33" s="91" t="s">
        <v>78</v>
      </c>
      <c r="B33" s="94" t="str">
        <f>'Parameters List'!B33</f>
        <v>Stagger2 PRI (µs)</v>
      </c>
      <c r="C33" s="64">
        <v>0</v>
      </c>
      <c r="D33" s="64">
        <v>0</v>
      </c>
      <c r="F33" s="43"/>
      <c r="G33" s="43"/>
      <c r="H33" s="43"/>
      <c r="I33" s="43"/>
      <c r="J33" s="43"/>
      <c r="K33" s="43"/>
      <c r="L33" s="43"/>
      <c r="M33" s="43"/>
      <c r="N33" s="43"/>
      <c r="O33" s="43"/>
      <c r="P33" s="43"/>
      <c r="Q33" s="43"/>
      <c r="R33" s="43"/>
      <c r="S33" s="43"/>
    </row>
    <row r="34" spans="1:19" x14ac:dyDescent="0.2">
      <c r="A34" s="91" t="s">
        <v>81</v>
      </c>
      <c r="B34" s="95" t="str">
        <f>'Parameters List'!B34</f>
        <v>Number of Staggers (1 or 2)</v>
      </c>
      <c r="C34" s="67">
        <f>1*(C$32&lt;&gt;0)+1*(C$33&lt;&gt;0)</f>
        <v>1</v>
      </c>
      <c r="D34" s="67">
        <f>1*(D$32&lt;&gt;0)+1*(D$33&lt;&gt;0)</f>
        <v>1</v>
      </c>
      <c r="F34" s="43"/>
      <c r="G34" s="43"/>
      <c r="H34" s="43"/>
      <c r="I34" s="43"/>
      <c r="J34" s="43"/>
      <c r="K34" s="43"/>
      <c r="L34" s="43"/>
      <c r="M34" s="43"/>
      <c r="N34" s="43"/>
      <c r="O34" s="43"/>
      <c r="P34" s="43"/>
      <c r="Q34" s="43"/>
      <c r="R34" s="43"/>
      <c r="S34" s="43"/>
    </row>
    <row r="35" spans="1:19" x14ac:dyDescent="0.2">
      <c r="A35" s="91"/>
      <c r="B35" s="94" t="str">
        <f>'Parameters List'!B35</f>
        <v>Stagger Loss (dB)</v>
      </c>
      <c r="C35" s="64">
        <v>0</v>
      </c>
      <c r="D35" s="64">
        <v>0</v>
      </c>
      <c r="F35" s="43"/>
      <c r="G35" s="43"/>
      <c r="H35" s="43"/>
      <c r="I35" s="43"/>
      <c r="J35" s="43"/>
      <c r="K35" s="43"/>
      <c r="L35" s="43"/>
      <c r="M35" s="43"/>
      <c r="N35" s="43"/>
      <c r="O35" s="43"/>
      <c r="P35" s="43"/>
      <c r="Q35" s="43"/>
      <c r="R35" s="43"/>
      <c r="S35" s="43"/>
    </row>
    <row r="36" spans="1:19" x14ac:dyDescent="0.2">
      <c r="A36" s="91" t="s">
        <v>78</v>
      </c>
      <c r="B36" s="95" t="str">
        <f>'Parameters List'!B36</f>
        <v>PW (µs)</v>
      </c>
      <c r="C36" s="33">
        <f>C$46*C$48*$C$174</f>
        <v>0.4</v>
      </c>
      <c r="D36" s="33">
        <f>D$46*D$48*$C$174</f>
        <v>6.5</v>
      </c>
      <c r="F36" s="43"/>
      <c r="G36" s="43"/>
      <c r="H36" s="43"/>
      <c r="I36" s="43"/>
      <c r="J36" s="43"/>
      <c r="K36" s="43"/>
      <c r="L36" s="43"/>
      <c r="M36" s="43"/>
      <c r="N36" s="43"/>
      <c r="O36" s="43"/>
      <c r="P36" s="43"/>
      <c r="Q36" s="43"/>
      <c r="R36" s="43"/>
      <c r="S36" s="43"/>
    </row>
    <row r="37" spans="1:19" x14ac:dyDescent="0.2">
      <c r="A37" s="91" t="s">
        <v>78</v>
      </c>
      <c r="B37" s="95" t="str">
        <f>'Parameters List'!B37</f>
        <v>Actual Bandwidth (MHz)</v>
      </c>
      <c r="C37" s="33">
        <f>2*C$48/(C$36*(2*(C$48=2)+1*(C$48&lt;&gt;2)))</f>
        <v>5</v>
      </c>
      <c r="D37" s="33">
        <f>2*D$48/(D$36*(2*(D$48=2)+1*(D$48&lt;&gt;2)))</f>
        <v>4</v>
      </c>
      <c r="F37" s="43"/>
      <c r="G37" s="43"/>
      <c r="H37" s="43"/>
      <c r="I37" s="43"/>
      <c r="J37" s="43"/>
      <c r="K37" s="43"/>
      <c r="L37" s="43"/>
      <c r="M37" s="43"/>
      <c r="N37" s="43"/>
      <c r="O37" s="43"/>
      <c r="P37" s="43"/>
      <c r="Q37" s="43"/>
      <c r="R37" s="43"/>
      <c r="S37" s="43"/>
    </row>
    <row r="38" spans="1:19" x14ac:dyDescent="0.2">
      <c r="A38" s="91" t="s">
        <v>81</v>
      </c>
      <c r="B38" s="95" t="str">
        <f>'Parameters List'!B38</f>
        <v>Range Resolution (m)</v>
      </c>
      <c r="C38" s="67">
        <f>$C$163*C$36 /C$48*(2*(C$48=2)+1*(C$48&lt;&gt;2))</f>
        <v>59.958491600000002</v>
      </c>
      <c r="D38" s="67">
        <f>$C$163*D$36 /D$48*(2*(D$48=2)+1*(D$48&lt;&gt;2))</f>
        <v>74.948114500000003</v>
      </c>
      <c r="F38" s="43"/>
      <c r="G38" s="43"/>
      <c r="H38" s="43"/>
      <c r="I38" s="43"/>
      <c r="J38" s="43"/>
      <c r="K38" s="43"/>
      <c r="L38" s="43"/>
      <c r="M38" s="43"/>
      <c r="N38" s="43"/>
      <c r="O38" s="43"/>
      <c r="P38" s="43"/>
      <c r="Q38" s="43"/>
      <c r="R38" s="43"/>
      <c r="S38" s="43"/>
    </row>
    <row r="39" spans="1:19" x14ac:dyDescent="0.2">
      <c r="A39" s="91" t="s">
        <v>81</v>
      </c>
      <c r="B39" s="95" t="str">
        <f>'Parameters List'!B39</f>
        <v>Range Gate Width (m)</v>
      </c>
      <c r="C39" s="67">
        <f>C$38*(1*(C$47=0)+0.5*(C$47&lt;&gt;0))</f>
        <v>29.979245800000001</v>
      </c>
      <c r="D39" s="67">
        <f>D$38*(1*(D$47=0)+0.5*(D$47&lt;&gt;0))</f>
        <v>37.474057250000001</v>
      </c>
      <c r="F39" s="43"/>
      <c r="G39" s="43"/>
      <c r="H39" s="43"/>
      <c r="I39" s="43"/>
      <c r="J39" s="43"/>
      <c r="K39" s="43"/>
      <c r="L39" s="43"/>
      <c r="M39" s="43"/>
      <c r="N39" s="43"/>
      <c r="O39" s="43"/>
      <c r="P39" s="43"/>
      <c r="Q39" s="43"/>
      <c r="R39" s="43"/>
      <c r="S39" s="43"/>
    </row>
    <row r="40" spans="1:19" x14ac:dyDescent="0.2">
      <c r="A40" s="91" t="s">
        <v>78</v>
      </c>
      <c r="B40" s="94" t="str">
        <f>'Parameters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'Parameters List'!B41</f>
        <v>Min Range Offset (m)</v>
      </c>
      <c r="C41" s="64">
        <v>30</v>
      </c>
      <c r="D41" s="64">
        <v>37</v>
      </c>
      <c r="F41" s="43"/>
      <c r="G41" s="43"/>
      <c r="H41" s="43"/>
      <c r="I41" s="43"/>
      <c r="J41" s="43"/>
      <c r="K41" s="43"/>
      <c r="L41" s="43"/>
      <c r="M41" s="43"/>
      <c r="N41" s="43"/>
      <c r="O41" s="43"/>
      <c r="P41" s="43"/>
      <c r="Q41" s="43"/>
      <c r="R41" s="43"/>
      <c r="S41" s="43"/>
    </row>
    <row r="42" spans="1:19" x14ac:dyDescent="0.2">
      <c r="A42" s="91" t="s">
        <v>78</v>
      </c>
      <c r="B42" s="94" t="str">
        <f>'Parameters List'!B42</f>
        <v>Max Range Offset (m)</v>
      </c>
      <c r="C42" s="64">
        <v>30</v>
      </c>
      <c r="D42" s="64">
        <v>37</v>
      </c>
      <c r="F42" s="43"/>
      <c r="G42" s="43"/>
      <c r="H42" s="43"/>
      <c r="I42" s="43"/>
      <c r="J42" s="43"/>
      <c r="K42" s="43"/>
      <c r="L42" s="43"/>
      <c r="M42" s="43"/>
      <c r="N42" s="43"/>
      <c r="O42" s="43"/>
      <c r="P42" s="43"/>
      <c r="Q42" s="43"/>
      <c r="R42" s="43"/>
      <c r="S42" s="43"/>
    </row>
    <row r="43" spans="1:19" x14ac:dyDescent="0.2">
      <c r="A43" s="91" t="s">
        <v>78</v>
      </c>
      <c r="B43" s="95" t="str">
        <f>'Parameters List'!B43</f>
        <v>Min Range (m)</v>
      </c>
      <c r="C43" s="67">
        <f>$C$163*C$36 + C$41</f>
        <v>89.958491600000002</v>
      </c>
      <c r="D43" s="67">
        <f>$C$163*D$36 + D$41</f>
        <v>1011.3254885</v>
      </c>
      <c r="F43" s="43"/>
      <c r="G43" s="43"/>
      <c r="H43" s="43"/>
      <c r="I43" s="43"/>
      <c r="J43" s="43"/>
      <c r="K43" s="43"/>
      <c r="L43" s="43"/>
      <c r="M43" s="43"/>
      <c r="N43" s="43"/>
      <c r="O43" s="43"/>
      <c r="P43" s="43"/>
      <c r="Q43" s="43"/>
      <c r="R43" s="43"/>
      <c r="S43" s="43"/>
    </row>
    <row r="44" spans="1:19" x14ac:dyDescent="0.2">
      <c r="A44" s="91" t="s">
        <v>78</v>
      </c>
      <c r="B44" s="95" t="str">
        <f>'Parameters List'!B44</f>
        <v>Max Range (m)</v>
      </c>
      <c r="C44" s="67">
        <f>$C$163*((C$45-1)*C$46*$C$174/IF(C$48=2,IF(C$47=1,1,0.5),IF(C$47=1,2,1)))+C$43</f>
        <v>1139.2320946</v>
      </c>
      <c r="D44" s="67">
        <f>$C$163*((D$45-1)*D$46*$C$174/IF(D$48=2,IF(D$47=1,1,0.5),IF(D$47=1,2,1)))+D$43</f>
        <v>5021.0496142499996</v>
      </c>
      <c r="F44" s="43"/>
      <c r="G44" s="43"/>
      <c r="H44" s="43"/>
      <c r="I44" s="43"/>
      <c r="J44" s="43"/>
      <c r="K44" s="43"/>
      <c r="L44" s="43"/>
      <c r="M44" s="43"/>
      <c r="N44" s="43"/>
      <c r="O44" s="43"/>
      <c r="P44" s="43"/>
      <c r="Q44" s="43"/>
      <c r="R44" s="43"/>
      <c r="S44" s="43"/>
    </row>
    <row r="45" spans="1:19" x14ac:dyDescent="0.2">
      <c r="A45" s="91" t="s">
        <v>78</v>
      </c>
      <c r="B45" s="95" t="str">
        <f>'Parameters List'!B45</f>
        <v>NRG</v>
      </c>
      <c r="C45" s="33">
        <f>FLOOR((C$32-$C$161-2*C$36-(C$41+C$42)/$C$163)/(IF(C$48=2,IF(C$47=0,C$46*$C$174*2,C$46*$C$174),IF(C$47=0,C$46*$C$174,C$46*$C$174/2))),1)+1</f>
        <v>36</v>
      </c>
      <c r="D45" s="33">
        <f>FLOOR((D$32-$C$161-2*D$36-(D$41+D$42)/$C$163)/(IF(D$48=2,IF(D$47=0,D$46*$C$174*2,D$46*$C$174),IF(D$47=0,D$46*$C$174,D$46*$C$174/2))),1)+1</f>
        <v>108</v>
      </c>
      <c r="F45" s="43"/>
      <c r="G45" s="43"/>
      <c r="H45" s="43"/>
      <c r="I45" s="43"/>
      <c r="J45" s="43"/>
      <c r="K45" s="43"/>
      <c r="L45" s="43"/>
      <c r="M45" s="43"/>
      <c r="N45" s="43"/>
      <c r="O45" s="43"/>
      <c r="P45" s="43"/>
      <c r="Q45" s="43"/>
      <c r="R45" s="43"/>
      <c r="S45" s="43"/>
    </row>
    <row r="46" spans="1:19" x14ac:dyDescent="0.2">
      <c r="A46" s="91" t="s">
        <v>78</v>
      </c>
      <c r="B46" s="94" t="str">
        <f>'Parameters List'!B46</f>
        <v>TCHIP (even number)</v>
      </c>
      <c r="C46" s="64">
        <v>16</v>
      </c>
      <c r="D46" s="64">
        <v>40</v>
      </c>
      <c r="F46" s="43"/>
      <c r="G46" s="43"/>
      <c r="H46" s="43"/>
      <c r="I46" s="43"/>
      <c r="J46" s="43"/>
      <c r="K46" s="43"/>
      <c r="L46" s="43"/>
      <c r="M46" s="43"/>
      <c r="N46" s="43"/>
      <c r="O46" s="43"/>
      <c r="P46" s="43"/>
      <c r="Q46" s="43"/>
      <c r="R46" s="43"/>
      <c r="S46" s="43"/>
    </row>
    <row r="47" spans="1:19" x14ac:dyDescent="0.2">
      <c r="A47" s="91" t="s">
        <v>78</v>
      </c>
      <c r="B47" s="94" t="str">
        <f>'Parameters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'Parameters List'!B48</f>
        <v>NSERIES</v>
      </c>
      <c r="C48" s="64">
        <v>2</v>
      </c>
      <c r="D48" s="64">
        <v>13</v>
      </c>
      <c r="F48" s="43"/>
      <c r="G48" s="43"/>
      <c r="H48" s="43"/>
      <c r="I48" s="43"/>
      <c r="J48" s="43"/>
      <c r="K48" s="43"/>
      <c r="L48" s="43"/>
      <c r="M48" s="43"/>
      <c r="N48" s="43"/>
      <c r="O48" s="43"/>
      <c r="P48" s="43"/>
      <c r="Q48" s="43"/>
      <c r="R48" s="43"/>
      <c r="S48" s="43"/>
    </row>
    <row r="49" spans="1:19" x14ac:dyDescent="0.2">
      <c r="A49" s="91" t="s">
        <v>78</v>
      </c>
      <c r="B49" s="94" t="str">
        <f>'Parameters List'!B49</f>
        <v>POSTDEC</v>
      </c>
      <c r="C49" s="64">
        <v>1</v>
      </c>
      <c r="D49" s="64">
        <v>1</v>
      </c>
      <c r="F49" s="43"/>
      <c r="G49" s="43"/>
      <c r="H49" s="43"/>
      <c r="I49" s="43"/>
      <c r="J49" s="43"/>
      <c r="K49" s="43"/>
      <c r="L49" s="43"/>
      <c r="M49" s="43"/>
      <c r="N49" s="43"/>
      <c r="O49" s="43"/>
      <c r="P49" s="43"/>
      <c r="Q49" s="43"/>
      <c r="R49" s="43"/>
      <c r="S49" s="43"/>
    </row>
    <row r="50" spans="1:19" x14ac:dyDescent="0.2">
      <c r="A50" s="91"/>
      <c r="B50" s="80" t="str">
        <f>'Parameters List'!B50</f>
        <v>Max Abs Velocity Meas (m/s)</v>
      </c>
      <c r="C50" s="70">
        <f>1000000/($C$168*2*$C$104*C$49)</f>
        <v>93.591551573426571</v>
      </c>
      <c r="D50" s="70">
        <f>1000000/($C$168*2*$C$104*D$49)</f>
        <v>93.591551573426571</v>
      </c>
      <c r="F50" s="43"/>
      <c r="G50" s="43"/>
      <c r="H50" s="43"/>
      <c r="I50" s="43"/>
      <c r="J50" s="43"/>
      <c r="K50" s="43"/>
      <c r="L50" s="43"/>
      <c r="M50" s="43"/>
      <c r="N50" s="43"/>
      <c r="O50" s="43"/>
      <c r="P50" s="43"/>
      <c r="Q50" s="43"/>
      <c r="R50" s="43"/>
      <c r="S50" s="43"/>
    </row>
    <row r="51" spans="1:19" x14ac:dyDescent="0.2">
      <c r="A51" s="91" t="s">
        <v>78</v>
      </c>
      <c r="B51" s="95" t="str">
        <f>'Parameters List'!B51</f>
        <v>Npoints (up to FFT length)</v>
      </c>
      <c r="C51" s="33">
        <f>FLOOR((1000*C$29/$C$104/C$49),16)</f>
        <v>256</v>
      </c>
      <c r="D51" s="33">
        <f>FLOOR((1000*D$29/$C$104/D$49),16)</f>
        <v>256</v>
      </c>
      <c r="F51" s="43"/>
      <c r="G51" s="43"/>
      <c r="H51" s="43"/>
      <c r="I51" s="43"/>
      <c r="J51" s="43"/>
      <c r="K51" s="43"/>
      <c r="L51" s="43"/>
      <c r="M51" s="43"/>
      <c r="N51" s="43"/>
      <c r="O51" s="43"/>
      <c r="P51" s="43"/>
      <c r="Q51" s="43"/>
      <c r="R51" s="43"/>
      <c r="S51" s="43"/>
    </row>
    <row r="52" spans="1:19" x14ac:dyDescent="0.2">
      <c r="A52" s="91" t="s">
        <v>78</v>
      </c>
      <c r="B52" s="95" t="str">
        <f>'Parameters List'!B52</f>
        <v>FFT length (limited to 8192)</v>
      </c>
      <c r="C52" s="33">
        <f>2^CEILING(LOG10(C51)/LOG10(2),1)</f>
        <v>256</v>
      </c>
      <c r="D52" s="33">
        <f>2^CEILING(LOG10(D51)/LOG10(2),1)</f>
        <v>256</v>
      </c>
      <c r="F52" s="43"/>
      <c r="G52" s="43"/>
      <c r="H52" s="43"/>
      <c r="I52" s="43"/>
      <c r="J52" s="43"/>
      <c r="K52" s="43"/>
      <c r="L52" s="43"/>
      <c r="M52" s="43"/>
      <c r="N52" s="43"/>
      <c r="O52" s="43"/>
      <c r="P52" s="43"/>
      <c r="Q52" s="43"/>
      <c r="R52" s="43"/>
      <c r="S52" s="43"/>
    </row>
    <row r="53" spans="1:19" x14ac:dyDescent="0.2">
      <c r="A53" s="91"/>
      <c r="B53" s="95" t="str">
        <f>'Parameters List'!B53</f>
        <v>NCRG(per rcvr,limited to 512)</v>
      </c>
      <c r="C53" s="67">
        <f>C$45*C$26</f>
        <v>252</v>
      </c>
      <c r="D53" s="67">
        <f>D$45*D$26</f>
        <v>432</v>
      </c>
      <c r="F53" s="43"/>
      <c r="G53" s="43"/>
      <c r="H53" s="43"/>
      <c r="I53" s="43"/>
      <c r="J53" s="43"/>
      <c r="K53" s="43"/>
      <c r="L53" s="43"/>
      <c r="M53" s="43"/>
      <c r="N53" s="43"/>
      <c r="O53" s="43"/>
      <c r="P53" s="43"/>
      <c r="Q53" s="43"/>
      <c r="R53" s="43"/>
      <c r="S53" s="43"/>
    </row>
    <row r="54" spans="1:19" x14ac:dyDescent="0.2">
      <c r="A54" s="91"/>
      <c r="B54" s="95" t="str">
        <f>'Parameters List'!B54</f>
        <v>NCRG(all rcvrs)</v>
      </c>
      <c r="C54" s="67">
        <f>C$53*$C$155</f>
        <v>1260</v>
      </c>
      <c r="D54" s="67">
        <f>D$53*$C$155</f>
        <v>2160</v>
      </c>
      <c r="F54" s="43"/>
      <c r="G54" s="43"/>
      <c r="H54" s="43"/>
      <c r="I54" s="43"/>
      <c r="J54" s="43"/>
      <c r="K54" s="43"/>
      <c r="L54" s="43"/>
      <c r="M54" s="43"/>
      <c r="N54" s="43"/>
      <c r="O54" s="43"/>
      <c r="P54" s="43"/>
      <c r="Q54" s="43"/>
      <c r="R54" s="43"/>
      <c r="S54" s="43"/>
    </row>
    <row r="55" spans="1:19" x14ac:dyDescent="0.2">
      <c r="A55" s="91"/>
      <c r="B55" s="95" t="str">
        <f>'Parameters List'!B55</f>
        <v>TCHIP (m)</v>
      </c>
      <c r="C55" s="67">
        <f>C46*$C$163*$C$174</f>
        <v>29.979245800000001</v>
      </c>
      <c r="D55" s="67">
        <f>D46*$C$163*$C$174</f>
        <v>74.948114500000003</v>
      </c>
      <c r="F55" s="43"/>
      <c r="G55" s="43"/>
      <c r="H55" s="43"/>
      <c r="I55" s="43"/>
      <c r="J55" s="43"/>
      <c r="K55" s="43"/>
      <c r="L55" s="43"/>
      <c r="M55" s="43"/>
      <c r="N55" s="43"/>
      <c r="O55" s="43"/>
      <c r="P55" s="43"/>
      <c r="Q55" s="43"/>
      <c r="R55" s="43"/>
      <c r="S55" s="43"/>
    </row>
    <row r="56" spans="1:19" x14ac:dyDescent="0.2">
      <c r="A56" s="91"/>
      <c r="B56" s="94" t="str">
        <f>'Parameters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'Parameters List'!B57</f>
        <v>Clutter Margin (m/s)</v>
      </c>
      <c r="C57" s="67">
        <f>IF($C$206+C$56&gt;0,$C$206+C$56+C$67*C$65*1,0)</f>
        <v>3.6742171316695806</v>
      </c>
      <c r="D57" s="67">
        <f>IF($C$206+D$56&gt;0,$C$206+D$56+D$67*D$65*1,0)</f>
        <v>3.6742171316695806</v>
      </c>
      <c r="F57" s="119"/>
      <c r="G57" s="43"/>
      <c r="H57" s="43"/>
      <c r="I57" s="43"/>
      <c r="J57" s="43"/>
      <c r="K57" s="43"/>
      <c r="L57" s="43"/>
      <c r="M57" s="43"/>
      <c r="N57" s="43"/>
      <c r="O57" s="43"/>
      <c r="P57" s="43"/>
      <c r="Q57" s="43"/>
      <c r="R57" s="43"/>
      <c r="S57" s="43"/>
    </row>
    <row r="58" spans="1:19" x14ac:dyDescent="0.2">
      <c r="A58" s="91" t="s">
        <v>78</v>
      </c>
      <c r="B58" s="94" t="str">
        <f>'Parameters List'!B58</f>
        <v>Min Velocity (m/s)</v>
      </c>
      <c r="C58" s="64">
        <v>0</v>
      </c>
      <c r="D58" s="64">
        <v>0</v>
      </c>
      <c r="F58" s="43"/>
      <c r="G58" s="43"/>
      <c r="H58" s="43"/>
      <c r="I58" s="43"/>
      <c r="J58" s="43"/>
      <c r="K58" s="43"/>
      <c r="L58" s="43"/>
      <c r="M58" s="43"/>
      <c r="N58" s="43"/>
      <c r="O58" s="43"/>
      <c r="P58" s="43"/>
      <c r="Q58" s="43"/>
      <c r="R58" s="43"/>
      <c r="S58" s="43"/>
    </row>
    <row r="59" spans="1:19" x14ac:dyDescent="0.2">
      <c r="A59" s="91" t="s">
        <v>81</v>
      </c>
      <c r="B59" s="94" t="str">
        <f>'Parameters List'!B59</f>
        <v>Max Velocity (m/s)</v>
      </c>
      <c r="C59" s="64">
        <v>85</v>
      </c>
      <c r="D59" s="64">
        <v>85</v>
      </c>
      <c r="F59" s="43"/>
      <c r="G59" s="43"/>
      <c r="H59" s="43"/>
      <c r="I59" s="43"/>
      <c r="J59" s="43"/>
      <c r="K59" s="43"/>
      <c r="L59" s="43"/>
      <c r="M59" s="43"/>
      <c r="N59" s="43"/>
      <c r="O59" s="43"/>
      <c r="P59" s="43"/>
      <c r="Q59" s="43"/>
      <c r="R59" s="43"/>
      <c r="S59" s="43"/>
    </row>
    <row r="60" spans="1:19" x14ac:dyDescent="0.2">
      <c r="A60" s="91"/>
      <c r="B60" s="68" t="str">
        <f>'Parameters List'!B60</f>
        <v>Loss Velocity (m/s)</v>
      </c>
      <c r="C60" s="67">
        <f>C$38*1000/C$30</f>
        <v>1023.6575953343531</v>
      </c>
      <c r="D60" s="67">
        <f>D$38*1000/D$30</f>
        <v>1279.5719941679413</v>
      </c>
      <c r="F60" s="43"/>
      <c r="G60" s="43"/>
      <c r="H60" s="43"/>
      <c r="I60" s="43"/>
      <c r="J60" s="43"/>
      <c r="K60" s="43"/>
      <c r="L60" s="43"/>
      <c r="M60" s="43"/>
      <c r="N60" s="43"/>
      <c r="O60" s="43"/>
      <c r="P60" s="43"/>
      <c r="Q60" s="43"/>
      <c r="R60" s="43"/>
      <c r="S60" s="43"/>
    </row>
    <row r="61" spans="1:19" x14ac:dyDescent="0.2">
      <c r="A61" s="92"/>
      <c r="B61" s="68" t="str">
        <f>'Parameters List'!B61</f>
        <v>Velocity Loss (dB)</v>
      </c>
      <c r="C61" s="67">
        <f>IF(C$59&lt;C$60, 0, IF(C$47=1, IF(C$59&lt;2*C$60, (C$59 / C$60)*0.5*$C$203, 10), IF(C$47=0, IF(C$59&lt;2*C$60, (C$59 / C$60)*$C$202-$C$202/2, 10), 10)))+(-20*LOG10(ABS(SIN(PI()*C$59*$C$168*C$36*10^-6)/(PI()*C$59*$C$168*C$36*10^-6))))</f>
        <v>9.0048275518318747E-6</v>
      </c>
      <c r="D61" s="67">
        <f>IF(D$59&lt;D$60, 0, IF(D$47=1, IF(D$59&lt;2*D$60, (D$59 / D$60)*0.5*$C$203, 10), IF(D$47=0, IF(D$59&lt;2*D$60, (D$59 / D$60)*$C$202-$C$202/2, 10), 10)))+(-20*LOG10(ABS(SIN(PI()*D$59*$C$168*D$36*10^-6)/(PI()*D$59*$C$168*D$36*10^-6))))</f>
        <v>2.3779669868962032E-3</v>
      </c>
    </row>
    <row r="62" spans="1:19" x14ac:dyDescent="0.2">
      <c r="A62" s="92"/>
      <c r="B62" s="71" t="str">
        <f>'Parameters List'!B62</f>
        <v>Max Acceleration (m/s2)</v>
      </c>
      <c r="C62" s="64">
        <v>0</v>
      </c>
      <c r="D62" s="64">
        <v>0</v>
      </c>
    </row>
    <row r="63" spans="1:19" x14ac:dyDescent="0.2">
      <c r="A63" s="91"/>
      <c r="B63" s="68" t="str">
        <f>'Parameters List'!B63</f>
        <v>Loss Acceleration (m/s2)</v>
      </c>
      <c r="C63" s="67">
        <f>C$65*1000/C$30*$C$196</f>
        <v>23.718340145392585</v>
      </c>
      <c r="D63" s="67">
        <f>D$65*1000/D$30*$C$196</f>
        <v>23.718340145392585</v>
      </c>
      <c r="F63" s="43"/>
      <c r="G63" s="43"/>
      <c r="H63" s="43"/>
      <c r="I63" s="43"/>
      <c r="J63" s="43"/>
      <c r="K63" s="43"/>
      <c r="L63" s="43"/>
      <c r="M63" s="43"/>
      <c r="N63" s="43"/>
      <c r="O63" s="43"/>
      <c r="P63" s="43"/>
      <c r="Q63" s="43"/>
      <c r="R63" s="43"/>
      <c r="S63" s="43"/>
    </row>
    <row r="64" spans="1:19" x14ac:dyDescent="0.2">
      <c r="A64" s="92"/>
      <c r="B64" s="68" t="str">
        <f>'Parameters List'!B64</f>
        <v>Acceleration Loss (dB)</v>
      </c>
      <c r="C64" s="67">
        <f>IF( C$62 &gt;= C$63, C$62 / C$63 * $C$198, 0)</f>
        <v>0</v>
      </c>
      <c r="D64" s="67">
        <f>IF( D$62 &gt;= D$63, D$62 / D$63 * $C$198, 0)</f>
        <v>0</v>
      </c>
    </row>
    <row r="65" spans="1:19" x14ac:dyDescent="0.2">
      <c r="A65" s="91" t="s">
        <v>81</v>
      </c>
      <c r="B65" s="80" t="str">
        <f>'Parameters List'!B65</f>
        <v>fft2doppler (m/s per FFT bin)</v>
      </c>
      <c r="C65" s="70">
        <f>$C$106*1000/C$49/C$52/$C$168</f>
        <v>0.7311839966673952</v>
      </c>
      <c r="D65" s="70">
        <f>$C$106*1000/D$49/D$52/$C$168</f>
        <v>0.7311839966673952</v>
      </c>
      <c r="F65" s="43"/>
      <c r="G65" s="43"/>
      <c r="H65" s="43"/>
      <c r="I65" s="43"/>
      <c r="J65" s="43"/>
      <c r="K65" s="43"/>
      <c r="L65" s="43"/>
      <c r="M65" s="43"/>
      <c r="N65" s="43"/>
      <c r="O65" s="43"/>
      <c r="P65" s="43"/>
      <c r="Q65" s="43"/>
      <c r="R65" s="43"/>
      <c r="S65" s="43"/>
    </row>
    <row r="66" spans="1:19" x14ac:dyDescent="0.2">
      <c r="A66" s="91"/>
      <c r="B66" s="80" t="str">
        <f>'Parameters List'!B66</f>
        <v>Optimal Peak2Peak Seperation (m/s)</v>
      </c>
      <c r="C66" s="70">
        <f>(C$67+C$68+(C$67+1))*C$65</f>
        <v>15.354863930015298</v>
      </c>
      <c r="D66" s="70">
        <f>(D$67+D$68+(D$67+1))*D$65</f>
        <v>15.354863930015298</v>
      </c>
      <c r="F66" s="43"/>
      <c r="G66" s="43"/>
      <c r="H66" s="43"/>
      <c r="I66" s="43"/>
      <c r="J66" s="43"/>
      <c r="K66" s="43"/>
      <c r="L66" s="43"/>
      <c r="M66" s="43"/>
      <c r="N66" s="43"/>
      <c r="O66" s="43"/>
      <c r="P66" s="43"/>
      <c r="Q66" s="43"/>
      <c r="R66" s="43"/>
      <c r="S66" s="43"/>
    </row>
    <row r="67" spans="1:19" x14ac:dyDescent="0.2">
      <c r="A67" s="91"/>
      <c r="B67" s="95" t="str">
        <f>'Parameters List'!B67</f>
        <v># FFT bins of peak spreading (one side)</v>
      </c>
      <c r="C67" s="67">
        <f>ROUND((($C$200-1) / 2) * (C$52 / C$51) + (C$62*C$30/1000)/C$65,0)</f>
        <v>4</v>
      </c>
      <c r="D67" s="67">
        <f>ROUND((($C$200-1) / 2) * (D$52 / D$51) + (D$62*D$30/1000)/D$65,0)</f>
        <v>4</v>
      </c>
      <c r="F67" s="43"/>
      <c r="G67" s="43"/>
      <c r="H67" s="43"/>
      <c r="I67" s="43"/>
      <c r="J67" s="43"/>
      <c r="K67" s="43"/>
      <c r="L67" s="43"/>
      <c r="M67" s="43"/>
      <c r="N67" s="43"/>
      <c r="O67" s="43"/>
      <c r="P67" s="43"/>
      <c r="Q67" s="43"/>
      <c r="R67" s="43"/>
      <c r="S67" s="43"/>
    </row>
    <row r="68" spans="1:19" x14ac:dyDescent="0.2">
      <c r="A68" s="91"/>
      <c r="B68" s="95" t="str">
        <f>'Parameters List'!B68</f>
        <v># FFT bins for noise estimation (one side)</v>
      </c>
      <c r="C68" s="67">
        <f>ROUND((($C$201-1)/2*$C$197/$C$199)*(C$52/C$51),0)</f>
        <v>12</v>
      </c>
      <c r="D68" s="67">
        <f>ROUND((($C$201-1)/2*$C$197/$C$199)*(D$52/D$51),0)</f>
        <v>12</v>
      </c>
      <c r="F68" s="43"/>
      <c r="G68" s="43"/>
      <c r="H68" s="43"/>
      <c r="I68" s="43"/>
      <c r="J68" s="43"/>
      <c r="K68" s="43"/>
      <c r="L68" s="43"/>
      <c r="M68" s="43"/>
      <c r="N68" s="43"/>
      <c r="O68" s="43"/>
      <c r="P68" s="43"/>
      <c r="Q68" s="43"/>
      <c r="R68" s="43"/>
      <c r="S68" s="43"/>
    </row>
    <row r="69" spans="1:19" x14ac:dyDescent="0.2">
      <c r="A69" s="91"/>
      <c r="B69" s="95" t="str">
        <f>'Parameters List'!B69</f>
        <v># FFT bins of clutter margin (one side)</v>
      </c>
      <c r="C69" s="67">
        <f>C$57/C$65</f>
        <v>5.0250239999999993</v>
      </c>
      <c r="D69" s="67">
        <f>D$57/D$65</f>
        <v>5.0250239999999993</v>
      </c>
      <c r="F69" s="43"/>
      <c r="G69" s="43"/>
      <c r="H69" s="43"/>
      <c r="I69" s="43"/>
      <c r="J69" s="43"/>
      <c r="K69" s="43"/>
      <c r="L69" s="43"/>
      <c r="M69" s="43"/>
      <c r="N69" s="43"/>
      <c r="O69" s="43"/>
      <c r="P69" s="43"/>
      <c r="Q69" s="43"/>
      <c r="R69" s="43"/>
      <c r="S69" s="43"/>
    </row>
    <row r="70" spans="1:19" x14ac:dyDescent="0.2">
      <c r="A70" s="91"/>
      <c r="B70" s="95" t="str">
        <f>'Parameters List'!B70</f>
        <v># FFT bins to min velocity</v>
      </c>
      <c r="C70" s="67">
        <f>FLOOR(C$58/C$65,1)</f>
        <v>0</v>
      </c>
      <c r="D70" s="67">
        <f>FLOOR(D$58/D$65,1)</f>
        <v>0</v>
      </c>
      <c r="F70" s="43"/>
      <c r="G70" s="43"/>
      <c r="H70" s="43"/>
      <c r="I70" s="43"/>
      <c r="J70" s="43"/>
      <c r="K70" s="43"/>
      <c r="L70" s="43"/>
      <c r="M70" s="43"/>
      <c r="N70" s="43"/>
      <c r="O70" s="43"/>
      <c r="P70" s="43"/>
      <c r="Q70" s="43"/>
      <c r="R70" s="43"/>
      <c r="S70" s="43"/>
    </row>
    <row r="71" spans="1:19" x14ac:dyDescent="0.2">
      <c r="A71" s="91"/>
      <c r="B71" s="95" t="str">
        <f>'Parameters List'!B71</f>
        <v># FFT bins to max velocity</v>
      </c>
      <c r="C71" s="67">
        <f>CEILING(C$59/C$65,1)</f>
        <v>117</v>
      </c>
      <c r="D71" s="67">
        <f>CEILING(D$59/D$65,1)</f>
        <v>117</v>
      </c>
      <c r="F71" s="43"/>
      <c r="G71" s="43"/>
      <c r="H71" s="43"/>
      <c r="I71" s="43"/>
      <c r="J71" s="43"/>
      <c r="K71" s="43"/>
      <c r="L71" s="43"/>
      <c r="M71" s="43"/>
      <c r="N71" s="43"/>
      <c r="O71" s="43"/>
      <c r="P71" s="43"/>
      <c r="Q71" s="43"/>
      <c r="R71" s="43"/>
      <c r="S71" s="43"/>
    </row>
    <row r="72" spans="1:19" x14ac:dyDescent="0.2">
      <c r="A72" s="91" t="s">
        <v>81</v>
      </c>
      <c r="B72" s="95" t="str">
        <f>'Parameters List'!B72</f>
        <v>Noise Mask (example: '-13,-4,4,13)</v>
      </c>
      <c r="C72" s="67" t="str">
        <f>CONCATENATE(TEXT(-C$68-C$67,"0"),",",TEXT(-C$67-1,"0"),",",TEXT(C$67+1,"0"),",",TEXT(C$68+C$67,"0"))</f>
        <v>-16,-5,5,16</v>
      </c>
      <c r="D72" s="67" t="str">
        <f>CONCATENATE(TEXT(-D$68-D$67,"0"),",",TEXT(-D$67-1,"0"),",",TEXT(D$67+1,"0"),",",TEXT(D$68+D$67,"0"))</f>
        <v>-16,-5,5,16</v>
      </c>
      <c r="F72" s="43"/>
      <c r="G72" s="43"/>
      <c r="H72" s="43"/>
      <c r="I72" s="43"/>
      <c r="J72" s="43"/>
      <c r="K72" s="43"/>
      <c r="L72" s="43"/>
      <c r="M72" s="43"/>
      <c r="N72" s="43"/>
      <c r="O72" s="43"/>
      <c r="P72" s="43"/>
      <c r="Q72" s="43"/>
      <c r="R72" s="43"/>
      <c r="S72" s="43"/>
    </row>
    <row r="73" spans="1:19" x14ac:dyDescent="0.2">
      <c r="A73" s="91" t="s">
        <v>81</v>
      </c>
      <c r="B73" s="94" t="str">
        <f>'Parameters List'!B73</f>
        <v>Options (see Options List sheet)</v>
      </c>
      <c r="C73" s="101"/>
      <c r="D73" s="101"/>
      <c r="F73" s="43"/>
      <c r="G73" s="43"/>
      <c r="H73" s="43"/>
      <c r="I73" s="43"/>
      <c r="J73" s="43"/>
      <c r="K73" s="43"/>
      <c r="L73" s="43"/>
      <c r="M73" s="43"/>
      <c r="N73" s="43"/>
      <c r="O73" s="43"/>
      <c r="P73" s="43"/>
      <c r="Q73" s="43"/>
      <c r="R73" s="43"/>
      <c r="S73" s="43"/>
    </row>
    <row r="74" spans="1:19" x14ac:dyDescent="0.2">
      <c r="A74" s="91" t="s">
        <v>81</v>
      </c>
      <c r="B74" s="94" t="str">
        <f>'Parameters List'!B74</f>
        <v>SNR Threshold (dB)</v>
      </c>
      <c r="C74" s="73">
        <v>12</v>
      </c>
      <c r="D74" s="73">
        <v>12</v>
      </c>
      <c r="F74" s="43"/>
      <c r="G74" s="43"/>
      <c r="H74" s="43"/>
      <c r="I74" s="43"/>
      <c r="J74" s="43"/>
      <c r="K74" s="43"/>
      <c r="L74" s="43"/>
      <c r="M74" s="43"/>
      <c r="N74" s="43"/>
      <c r="O74" s="43"/>
      <c r="P74" s="43"/>
      <c r="Q74" s="43"/>
      <c r="R74" s="43"/>
      <c r="S74" s="43"/>
    </row>
    <row r="75" spans="1:19" x14ac:dyDescent="0.2">
      <c r="A75" s="91"/>
      <c r="B75" s="80" t="str">
        <f>'Parameters List'!B75</f>
        <v>Probability of False Alarm</v>
      </c>
      <c r="C75" s="70">
        <f>pf_PD_PFA_CFAR("pfa", C$74, C$120, C$121, C$68*2, 1)</f>
        <v>5.1888289024436828E-6</v>
      </c>
      <c r="D75" s="70">
        <f>pf_PD_PFA_CFAR("pfa", D$74, D$120, D$121, D$68*2, 1)</f>
        <v>5.1888289024436828E-6</v>
      </c>
      <c r="F75" s="43"/>
      <c r="G75" s="43"/>
      <c r="H75" s="43"/>
      <c r="I75" s="43"/>
      <c r="J75" s="43"/>
      <c r="K75" s="43"/>
      <c r="L75" s="43"/>
      <c r="M75" s="43"/>
      <c r="N75" s="43"/>
      <c r="O75" s="43"/>
      <c r="P75" s="43"/>
      <c r="Q75" s="43"/>
      <c r="R75" s="43"/>
      <c r="S75" s="43"/>
    </row>
    <row r="76" spans="1:19" x14ac:dyDescent="0.2">
      <c r="A76" s="91"/>
      <c r="B76" s="80" t="str">
        <f>'Parameters List'!B76</f>
        <v>Probability of False Alarm per CPI</v>
      </c>
      <c r="C76" s="70">
        <f>C$75*C$52*C$53</f>
        <v>0.33474173015444686</v>
      </c>
      <c r="D76" s="70">
        <f>D$75*D$52*D$53</f>
        <v>0.57384296597905182</v>
      </c>
      <c r="F76" s="43"/>
      <c r="G76" s="43"/>
      <c r="H76" s="43"/>
      <c r="I76" s="43"/>
      <c r="J76" s="43"/>
      <c r="K76" s="43"/>
      <c r="L76" s="43"/>
      <c r="M76" s="43"/>
      <c r="N76" s="43"/>
      <c r="O76" s="43"/>
      <c r="P76" s="43"/>
      <c r="Q76" s="43"/>
      <c r="R76" s="43"/>
      <c r="S76" s="43"/>
    </row>
    <row r="77" spans="1:19" x14ac:dyDescent="0.2">
      <c r="A77" s="91"/>
      <c r="B77" s="80" t="str">
        <f>'Parameters List'!B77</f>
        <v>Probability of False Alarm per SEC</v>
      </c>
      <c r="C77" s="70">
        <f>C$76/(C$30/1000)</f>
        <v>5.714968896048112</v>
      </c>
      <c r="D77" s="70">
        <f>D$76/(D$30/1000)</f>
        <v>9.7970895360824795</v>
      </c>
      <c r="F77" s="43"/>
      <c r="G77" s="43"/>
      <c r="H77" s="43"/>
      <c r="I77" s="43"/>
      <c r="J77" s="43"/>
      <c r="K77" s="43"/>
      <c r="L77" s="43"/>
      <c r="M77" s="43"/>
      <c r="N77" s="43"/>
      <c r="O77" s="43"/>
      <c r="P77" s="43"/>
      <c r="Q77" s="43"/>
      <c r="R77" s="43"/>
      <c r="S77" s="43"/>
    </row>
    <row r="78" spans="1:19" x14ac:dyDescent="0.2">
      <c r="A78" s="91"/>
      <c r="B78" s="94" t="str">
        <f>'Parameters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'Parameters List'!B79</f>
        <v>STC Init Range (m)</v>
      </c>
      <c r="C79" s="70">
        <f>10^((40*LOG10(C$44)-(C$78-C$99)) / 40)</f>
        <v>406.10222101537755</v>
      </c>
      <c r="D79" s="70">
        <f>10^((40*LOG10(D$44)-(D$78-D$99)) / 40)</f>
        <v>815.24751178914005</v>
      </c>
      <c r="F79" s="43"/>
      <c r="G79" s="43"/>
      <c r="H79" s="43"/>
      <c r="I79" s="43"/>
      <c r="J79" s="43"/>
      <c r="K79" s="43"/>
      <c r="L79" s="43"/>
      <c r="M79" s="43"/>
      <c r="N79" s="43"/>
      <c r="O79" s="43"/>
      <c r="P79" s="43"/>
      <c r="Q79" s="43"/>
      <c r="R79" s="43"/>
      <c r="S79" s="43"/>
    </row>
    <row r="80" spans="1:19" x14ac:dyDescent="0.2">
      <c r="A80" s="91"/>
      <c r="B80" s="94" t="str">
        <f>'Parameters List'!B80</f>
        <v>Tapered Array (0/1)</v>
      </c>
      <c r="C80" s="101">
        <v>0</v>
      </c>
      <c r="D80" s="101">
        <v>0</v>
      </c>
      <c r="F80" s="43"/>
      <c r="G80" s="43"/>
      <c r="H80" s="43"/>
      <c r="I80" s="43"/>
      <c r="J80" s="43"/>
      <c r="K80" s="43"/>
      <c r="L80" s="43"/>
      <c r="M80" s="43"/>
      <c r="N80" s="43"/>
      <c r="O80" s="43"/>
      <c r="P80" s="43"/>
      <c r="Q80" s="43"/>
      <c r="R80" s="43"/>
      <c r="S80" s="43"/>
    </row>
    <row r="81" spans="1:19" x14ac:dyDescent="0.2">
      <c r="A81" s="91"/>
      <c r="B81" s="94" t="str">
        <f>'Parameters List'!B81</f>
        <v>AGC Set (1-6)</v>
      </c>
      <c r="C81" s="101">
        <v>3</v>
      </c>
      <c r="D81" s="101">
        <v>3</v>
      </c>
      <c r="F81" s="43"/>
      <c r="G81" s="43"/>
      <c r="H81" s="43"/>
      <c r="I81" s="43"/>
      <c r="J81" s="43"/>
      <c r="K81" s="43"/>
      <c r="L81" s="43"/>
      <c r="M81" s="43"/>
      <c r="N81" s="43"/>
      <c r="O81" s="43"/>
      <c r="P81" s="43"/>
      <c r="Q81" s="43"/>
      <c r="R81" s="43"/>
      <c r="S81" s="43"/>
    </row>
    <row r="82" spans="1:19" x14ac:dyDescent="0.2">
      <c r="A82" s="91"/>
      <c r="B82" s="95" t="str">
        <f>'Parameters List'!B82</f>
        <v>RF AGC (dB) - 1st Rx</v>
      </c>
      <c r="C82" s="67">
        <f>VLOOKUP(C$81,'AGC Set Table'!$A$3:$K$9,2,FALSE)</f>
        <v>0</v>
      </c>
      <c r="D82" s="67">
        <f>VLOOKUP(D$81,'AGC Set Table'!$A$3:$K$9,2,FALSE)</f>
        <v>0</v>
      </c>
      <c r="F82" s="43"/>
      <c r="G82" s="43"/>
      <c r="H82" s="43"/>
      <c r="I82" s="43"/>
      <c r="J82" s="43"/>
      <c r="K82" s="43"/>
      <c r="L82" s="43"/>
      <c r="M82" s="43"/>
      <c r="N82" s="43"/>
      <c r="O82" s="43"/>
      <c r="P82" s="43"/>
      <c r="Q82" s="43"/>
      <c r="R82" s="43"/>
      <c r="S82" s="43"/>
    </row>
    <row r="83" spans="1:19" x14ac:dyDescent="0.2">
      <c r="A83" s="91"/>
      <c r="B83" s="95" t="str">
        <f>'Parameters List'!B83</f>
        <v>IF AGC (dB) - 1st Rx</v>
      </c>
      <c r="C83" s="67">
        <f>VLOOKUP(C$81,'AGC Set Table'!$A$3:$K$9,3,FALSE)</f>
        <v>25</v>
      </c>
      <c r="D83" s="67">
        <f>VLOOKUP(D$81,'AGC Set Table'!$A$3:$K$9,3,FALSE)</f>
        <v>25</v>
      </c>
      <c r="F83" s="43"/>
      <c r="G83" s="43"/>
      <c r="H83" s="43"/>
      <c r="I83" s="43"/>
      <c r="J83" s="43"/>
      <c r="K83" s="43"/>
      <c r="L83" s="43"/>
      <c r="M83" s="43"/>
      <c r="N83" s="43"/>
      <c r="O83" s="43"/>
      <c r="P83" s="43"/>
      <c r="Q83" s="43"/>
      <c r="R83" s="43"/>
      <c r="S83" s="43"/>
    </row>
    <row r="84" spans="1:19" x14ac:dyDescent="0.2">
      <c r="A84" s="91"/>
      <c r="B84" s="95" t="str">
        <f>'Parameters List'!B84</f>
        <v>RF AGC (dB) - Ref Rx</v>
      </c>
      <c r="C84" s="67">
        <f>VLOOKUP(C$81,'AGC Set Table'!$A$3:$K$9,8,FALSE)</f>
        <v>0</v>
      </c>
      <c r="D84" s="67">
        <f>VLOOKUP(D$81,'AGC Set Table'!$A$3:$K$9,8,FALSE)</f>
        <v>0</v>
      </c>
      <c r="F84" s="43"/>
      <c r="G84" s="43"/>
      <c r="H84" s="43"/>
      <c r="I84" s="43"/>
      <c r="J84" s="43"/>
      <c r="K84" s="43"/>
      <c r="L84" s="43"/>
      <c r="M84" s="43"/>
      <c r="N84" s="43"/>
      <c r="O84" s="43"/>
      <c r="P84" s="43"/>
      <c r="Q84" s="43"/>
      <c r="R84" s="43"/>
      <c r="S84" s="43"/>
    </row>
    <row r="85" spans="1:19" x14ac:dyDescent="0.2">
      <c r="A85" s="91"/>
      <c r="B85" s="95" t="str">
        <f>'Parameters List'!B85</f>
        <v>IF AGC (dB) - Ref Rx</v>
      </c>
      <c r="C85" s="67">
        <f>VLOOKUP(C$81,'AGC Set Table'!$A$3:$K$9,9,FALSE)</f>
        <v>5</v>
      </c>
      <c r="D85" s="67">
        <f>VLOOKUP(D$81,'AGC Set Table'!$A$3:$K$9,9,FALSE)</f>
        <v>5</v>
      </c>
      <c r="F85" s="43"/>
      <c r="G85" s="43"/>
      <c r="H85" s="43"/>
      <c r="I85" s="43"/>
      <c r="J85" s="43"/>
      <c r="K85" s="43"/>
      <c r="L85" s="43"/>
      <c r="M85" s="43"/>
      <c r="N85" s="43"/>
      <c r="O85" s="43"/>
      <c r="P85" s="43"/>
      <c r="Q85" s="43"/>
      <c r="R85" s="43"/>
      <c r="S85" s="43"/>
    </row>
    <row r="86" spans="1:19" x14ac:dyDescent="0.2">
      <c r="A86" s="91"/>
      <c r="B86" s="95" t="str">
        <f>'Parameters List'!B86</f>
        <v>NF @ADCout (dB) - 1st Rx</v>
      </c>
      <c r="C86" s="67">
        <f>VLOOKUP(C$81,'AGC Set Table'!$A$3:$K$9,IF(C$80=0,6,IF(C$80=1,7)),FALSE)</f>
        <v>4.1399999999999997</v>
      </c>
      <c r="D86" s="67">
        <f>VLOOKUP(D$81,'AGC Set Table'!$A$3:$K$9,IF(D$80=0,6,IF(D$80=1,7)),FALSE)</f>
        <v>4.1399999999999997</v>
      </c>
      <c r="F86" s="43"/>
      <c r="G86" s="43"/>
      <c r="H86" s="43"/>
      <c r="I86" s="43"/>
      <c r="J86" s="43"/>
      <c r="K86" s="43"/>
      <c r="L86" s="43"/>
      <c r="M86" s="43"/>
      <c r="N86" s="43"/>
      <c r="O86" s="43"/>
      <c r="P86" s="43"/>
      <c r="Q86" s="43"/>
      <c r="R86" s="43"/>
      <c r="S86" s="43"/>
    </row>
    <row r="87" spans="1:19" x14ac:dyDescent="0.2">
      <c r="A87" s="91"/>
      <c r="B87" s="95" t="str">
        <f>'Parameters List'!B87</f>
        <v>NF @ADCout (dB) - Ref Rx</v>
      </c>
      <c r="C87" s="67">
        <f>VLOOKUP(C$81,'AGC Set Table'!$A$3:$K$9,11,FALSE)</f>
        <v>2.5299999999999998</v>
      </c>
      <c r="D87" s="67">
        <f>VLOOKUP(D$81,'AGC Set Table'!$A$3:$K$9,11,FALSE)</f>
        <v>2.5299999999999998</v>
      </c>
      <c r="F87" s="43"/>
      <c r="G87" s="43"/>
      <c r="H87" s="43"/>
      <c r="I87" s="43"/>
      <c r="J87" s="43"/>
      <c r="K87" s="43"/>
      <c r="L87" s="43"/>
      <c r="M87" s="43"/>
      <c r="N87" s="43"/>
      <c r="O87" s="43"/>
      <c r="P87" s="43"/>
      <c r="Q87" s="43"/>
      <c r="R87" s="43"/>
      <c r="S87" s="43"/>
    </row>
    <row r="88" spans="1:19" x14ac:dyDescent="0.2">
      <c r="A88" s="91" t="s">
        <v>81</v>
      </c>
      <c r="B88" s="94" t="str">
        <f>'Parameters List'!B88</f>
        <v>RCS (m^2)</v>
      </c>
      <c r="C88" s="74">
        <v>0.01</v>
      </c>
      <c r="D88" s="74">
        <v>0.01</v>
      </c>
      <c r="F88" s="43"/>
      <c r="G88" s="43"/>
      <c r="H88" s="43"/>
      <c r="I88" s="43"/>
      <c r="J88" s="43"/>
      <c r="K88" s="43"/>
      <c r="L88" s="43"/>
      <c r="M88" s="43"/>
      <c r="N88" s="43"/>
      <c r="O88" s="43"/>
      <c r="P88" s="43"/>
      <c r="Q88" s="43"/>
      <c r="R88" s="43"/>
      <c r="S88" s="43"/>
    </row>
    <row r="89" spans="1:19" x14ac:dyDescent="0.2">
      <c r="A89" s="91"/>
      <c r="B89" s="95" t="str">
        <f>'Parameters List'!B89</f>
        <v>σ(dB/m2)</v>
      </c>
      <c r="C89" s="67">
        <f>10*LOG10(C$88)</f>
        <v>-20</v>
      </c>
      <c r="D89" s="67">
        <f>10*LOG10(D$88)</f>
        <v>-20</v>
      </c>
      <c r="F89" s="43"/>
      <c r="G89" s="43"/>
      <c r="H89" s="43"/>
      <c r="I89" s="43"/>
      <c r="J89" s="43"/>
      <c r="K89" s="43"/>
      <c r="L89" s="43"/>
      <c r="M89" s="43"/>
      <c r="N89" s="43"/>
      <c r="O89" s="43"/>
      <c r="P89" s="43"/>
      <c r="Q89" s="43"/>
      <c r="R89" s="43"/>
      <c r="S89" s="43"/>
    </row>
    <row r="90" spans="1:19" x14ac:dyDescent="0.2">
      <c r="A90" s="91"/>
      <c r="B90" s="80" t="str">
        <f>'Parameters List'!B90</f>
        <v>Tgt min range @ADCin (dBm) - Ref. Rx</v>
      </c>
      <c r="C90" s="70">
        <f>$C$185+$C$186+$C$188+C$89+$C$189-$C$190-40*LOG10(C$43)+$C$171-C$84-C$85-$C$179*(C$80=1)</f>
        <v>-21.227252202338207</v>
      </c>
      <c r="D90" s="70">
        <f>$C$185+$C$186+$C$188+D$89+$C$189-$C$190-40*LOG10(D$43)+$C$171-D$84-D$85-$C$179*(D$80=1)</f>
        <v>-63.26120373190534</v>
      </c>
      <c r="F90" s="43"/>
      <c r="G90" s="43"/>
      <c r="H90" s="43"/>
      <c r="I90" s="43"/>
      <c r="J90" s="43"/>
      <c r="K90" s="43"/>
      <c r="L90" s="43"/>
      <c r="M90" s="43"/>
      <c r="N90" s="43"/>
      <c r="O90" s="43"/>
      <c r="P90" s="43"/>
      <c r="Q90" s="43"/>
      <c r="R90" s="43"/>
      <c r="S90" s="43"/>
    </row>
    <row r="91" spans="1:19" x14ac:dyDescent="0.2">
      <c r="A91" s="91"/>
      <c r="B91" s="80" t="str">
        <f>'Parameters List'!B91</f>
        <v>Tgt max range @ADCin (dBm) - Ref. Rx</v>
      </c>
      <c r="C91" s="70">
        <f>$C$185+$C$186+$C$188+C$89+$C$189-$C$190-40*LOG10(C$44)+$C$171-C$84-C$85-$C$179*(C$80=1)</f>
        <v>-65.330054073425629</v>
      </c>
      <c r="D91" s="70">
        <f>$C$185+$C$186+$C$188+D$89+$C$189-$C$190-40*LOG10(D$44)+$C$171-D$84-D$85-$C$179*(D$80=1)</f>
        <v>-91.097346125443153</v>
      </c>
      <c r="F91" s="43"/>
      <c r="G91" s="43"/>
      <c r="H91" s="43"/>
      <c r="I91" s="43"/>
      <c r="J91" s="43"/>
      <c r="K91" s="43"/>
      <c r="L91" s="43"/>
      <c r="M91" s="43"/>
      <c r="N91" s="43"/>
      <c r="O91" s="43"/>
      <c r="P91" s="43"/>
      <c r="Q91" s="43"/>
      <c r="R91" s="43"/>
      <c r="S91" s="43"/>
    </row>
    <row r="92" spans="1:19" x14ac:dyDescent="0.2">
      <c r="A92" s="91"/>
      <c r="B92" s="95" t="str">
        <f>'Parameters List'!B92</f>
        <v>1st Rx Noise @ADCout (dBm/bin)</v>
      </c>
      <c r="C92" s="67">
        <f>C$86+$C$173+$C$171-C$84-C$85+10*LOG10($C$175*10^6)-$C$178*(C$80=1)+10*LOG10($C$156/$C$157)</f>
        <v>-34.839400086720389</v>
      </c>
      <c r="D92" s="67">
        <f>D$86+$C$173+$C$171-D$84-D$85+10*LOG10($C$175*10^6)-$C$178*(D$80=1)+10*LOG10($C$156/$C$157)</f>
        <v>-34.839400086720389</v>
      </c>
      <c r="F92" s="43"/>
      <c r="G92" s="43"/>
      <c r="H92" s="43"/>
      <c r="I92" s="43"/>
      <c r="J92" s="43"/>
      <c r="K92" s="43"/>
      <c r="L92" s="43"/>
      <c r="M92" s="43"/>
      <c r="N92" s="43"/>
      <c r="O92" s="43"/>
      <c r="P92" s="43"/>
      <c r="Q92" s="43"/>
      <c r="R92" s="43"/>
      <c r="S92" s="43"/>
    </row>
    <row r="93" spans="1:19" x14ac:dyDescent="0.2">
      <c r="A93" s="91"/>
      <c r="B93" s="95" t="str">
        <f>'Parameters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'Parameters List'!B94</f>
        <v>Total Noise @ADCout (dBm/bin)</v>
      </c>
      <c r="C94" s="67">
        <f>10*LOG10(10^((C$93 + 10*LOG10($C$157))/10) + 10^((C$92 + 10*LOG10(($C$182-$C$157) / $C$156))/10))+ (10*LOG10(C$34) - C$35) * (C$34&gt;1)</f>
        <v>-28.74449759340315</v>
      </c>
      <c r="D94" s="67">
        <f>10*LOG10(10^((D$93 + 10*LOG10($C$157))/10) + 10^((D$92 + 10*LOG10(($C$182-$C$157) / $C$156))/10))+ (10*LOG10(D$34) - D$35) * (D$34&gt;1)</f>
        <v>-28.74449759340315</v>
      </c>
      <c r="F94" s="43"/>
      <c r="G94" s="43"/>
      <c r="H94" s="43"/>
      <c r="I94" s="43"/>
      <c r="J94" s="43"/>
      <c r="K94" s="43"/>
      <c r="L94" s="43"/>
      <c r="M94" s="43"/>
      <c r="N94" s="43"/>
      <c r="O94" s="43"/>
      <c r="P94" s="43"/>
      <c r="Q94" s="43"/>
      <c r="R94" s="43"/>
      <c r="S94" s="43"/>
    </row>
    <row r="95" spans="1:19" x14ac:dyDescent="0.2">
      <c r="A95" s="91" t="s">
        <v>81</v>
      </c>
      <c r="B95" s="95" t="str">
        <f>'Parameters List'!B95</f>
        <v>Rx Processing Gain (dB)</v>
      </c>
      <c r="C95" s="67">
        <f>10*LOG10(C$46/2 * C$48 * C$51 * C$49) - $C$195</f>
        <v>33.073599479677746</v>
      </c>
      <c r="D95" s="67">
        <f>10*LOG10(D$46/2 * D$48 * D$51 * D$49) - $C$195</f>
        <v>45.182133132826678</v>
      </c>
      <c r="F95" s="43"/>
      <c r="G95" s="43"/>
      <c r="H95" s="43"/>
      <c r="I95" s="43"/>
      <c r="J95" s="43"/>
      <c r="K95" s="43"/>
      <c r="L95" s="43"/>
      <c r="M95" s="43"/>
      <c r="N95" s="43"/>
      <c r="O95" s="43"/>
      <c r="P95" s="43"/>
      <c r="Q95" s="43"/>
      <c r="R95" s="43"/>
      <c r="S95" s="43"/>
    </row>
    <row r="96" spans="1:19" x14ac:dyDescent="0.2">
      <c r="A96" s="91"/>
      <c r="B96" s="95" t="str">
        <f>'Parameters List'!B96</f>
        <v>Total Processing Gain (dB)</v>
      </c>
      <c r="C96" s="67">
        <f>C$95 + 20*LOG10($C$182) + (20*LOG10(C$34) - 2 * C$35) * (C$34&gt;1)-$C$179*(C$80=1)-$C$177*(C$80=1)</f>
        <v>65.329276614072455</v>
      </c>
      <c r="D96" s="67">
        <f>D$95 + 20*LOG10($C$182) + (20*LOG10(D$34) - 2 * D$35) * (D$34&gt;1)-$C$179*(D$80=1)-$C$177*(D$80=1)</f>
        <v>77.43781026722138</v>
      </c>
      <c r="F96" s="43"/>
      <c r="G96" s="43"/>
      <c r="H96" s="43"/>
      <c r="I96" s="43"/>
      <c r="J96" s="43"/>
      <c r="K96" s="43"/>
      <c r="L96" s="43"/>
      <c r="M96" s="43"/>
      <c r="N96" s="43"/>
      <c r="O96" s="43"/>
      <c r="P96" s="43"/>
      <c r="Q96" s="43"/>
      <c r="R96" s="43"/>
      <c r="S96" s="43"/>
    </row>
    <row r="97" spans="1:19" x14ac:dyDescent="0.2">
      <c r="A97" s="92"/>
      <c r="B97" s="95" t="str">
        <f>'Parameters List'!B97</f>
        <v>Total Loss (dB)</v>
      </c>
      <c r="C97" s="67">
        <f>$C$191 + ($C$202*(C$47=0)+$C$203*(C$47=1)+$C$198) + C$61 + C$64</f>
        <v>1.6627940048275518</v>
      </c>
      <c r="D97" s="67">
        <f>$C$191 + ($C$202*(D$47=0)+$C$203*(D$47=1)+$C$198) + D$61 + D$64</f>
        <v>1.6651629669868961</v>
      </c>
    </row>
    <row r="98" spans="1:19" x14ac:dyDescent="0.2">
      <c r="A98" s="91"/>
      <c r="B98" s="80" t="str">
        <f>'Parameters List'!B98</f>
        <v>SNR min range (dB)</v>
      </c>
      <c r="C98" s="70">
        <f>C$90+C$96-C$94-C$97</f>
        <v>71.183728000309856</v>
      </c>
      <c r="D98" s="70">
        <f>D$90+D$96-D$94-D$97</f>
        <v>41.255941161732295</v>
      </c>
      <c r="F98" s="43"/>
      <c r="G98" s="43"/>
      <c r="H98" s="43"/>
      <c r="I98" s="43"/>
      <c r="J98" s="43"/>
      <c r="K98" s="43"/>
      <c r="L98" s="43"/>
      <c r="M98" s="43"/>
      <c r="N98" s="43"/>
      <c r="O98" s="43"/>
      <c r="P98" s="43"/>
      <c r="Q98" s="43"/>
      <c r="R98" s="43"/>
      <c r="S98" s="43"/>
    </row>
    <row r="99" spans="1:19" x14ac:dyDescent="0.2">
      <c r="A99" s="91"/>
      <c r="B99" s="80" t="str">
        <f>'Parameters List'!B99</f>
        <v>SNR max range (dB)</v>
      </c>
      <c r="C99" s="70">
        <f>C$91+C$96-C$94-C$97</f>
        <v>27.080926129222423</v>
      </c>
      <c r="D99" s="70">
        <f>D$91+D$96-D$94-D$97</f>
        <v>13.419798768194481</v>
      </c>
      <c r="F99" s="43"/>
      <c r="G99" s="43"/>
      <c r="H99" s="43"/>
      <c r="I99" s="43"/>
      <c r="J99" s="43"/>
      <c r="K99" s="43"/>
      <c r="L99" s="43"/>
      <c r="M99" s="43"/>
      <c r="N99" s="43"/>
      <c r="O99" s="43"/>
      <c r="P99" s="43"/>
      <c r="Q99" s="43"/>
      <c r="R99" s="43"/>
      <c r="S99" s="43"/>
    </row>
    <row r="100" spans="1:19" x14ac:dyDescent="0.2">
      <c r="A100" s="91"/>
      <c r="B100" s="95" t="str">
        <f>'Parameters List'!B100</f>
        <v>Duty cycle per beam</v>
      </c>
      <c r="C100" s="67">
        <f>C$36/$C$104</f>
        <v>1.7482517482517483E-3</v>
      </c>
      <c r="D100" s="67">
        <f>D$36/$C$104</f>
        <v>2.8409090909090908E-2</v>
      </c>
      <c r="F100" s="43"/>
      <c r="G100" s="43"/>
      <c r="H100" s="43"/>
      <c r="I100" s="43"/>
      <c r="J100" s="43"/>
      <c r="K100" s="43"/>
      <c r="L100" s="43"/>
      <c r="M100" s="43"/>
      <c r="N100" s="43"/>
      <c r="O100" s="43"/>
      <c r="P100" s="43"/>
      <c r="Q100" s="43"/>
      <c r="R100" s="43"/>
      <c r="S100" s="43"/>
    </row>
    <row r="101" spans="1:19" x14ac:dyDescent="0.2">
      <c r="A101" s="91"/>
      <c r="B101" s="95" t="str">
        <f>'Parameters List'!B101</f>
        <v>Buffer size (KB)</v>
      </c>
      <c r="C101" s="67">
        <f>MROUND((IF(C$21, $C$210*$C$155, C$54)*C$51*8+64)/1024,4)</f>
        <v>2520</v>
      </c>
      <c r="D101" s="67">
        <f>MROUND((IF(D$21, $C$210*$C$155, D$54)*D$51*8+64)/1024,4)</f>
        <v>4320</v>
      </c>
      <c r="F101" s="43"/>
      <c r="G101" s="43"/>
      <c r="H101" s="43"/>
      <c r="I101" s="43"/>
      <c r="J101" s="43"/>
      <c r="K101" s="43"/>
      <c r="L101" s="43"/>
      <c r="M101" s="43"/>
      <c r="N101" s="43"/>
      <c r="O101" s="43"/>
      <c r="P101" s="43"/>
      <c r="Q101" s="43"/>
      <c r="R101" s="43"/>
      <c r="S101" s="43"/>
    </row>
    <row r="102" spans="1:19" x14ac:dyDescent="0.2">
      <c r="A102" s="91"/>
      <c r="B102" s="95" t="str">
        <f>'Parameters List'!B102</f>
        <v>PCIe Rate MB/s</v>
      </c>
      <c r="C102" s="67">
        <f>C$101*1024/C$30/1024</f>
        <v>43.023382867132867</v>
      </c>
      <c r="D102" s="67">
        <f>D$101*1024/D$30/1024</f>
        <v>73.754370629370626</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'Parameters List'!B104</f>
        <v>Total PRI (μs)</v>
      </c>
      <c r="C104" s="77">
        <f>(SUMIF($E$13:$AJ$13,"=1",$E$18:$AJ$18)*C$46+SUMIF($E$13:$AJ$13,"=2",$E$18:$AJ$18)*D$46)*$C$174+$C$208+COUNTIFS(E$13:AJ$13,"=1",E$15:AJ$15,"=1") * C$32 + COUNTIFS(E$13:AJ$13,"=1",E$15:AJ$15,"=2") * C$33 + COUNTIFS(E$13:AJ$13,"=2",E$15:AJ$15,"=1") * D$32 + COUNTIFS(E$13:AJ$13,"=2",E$15:AJ$15,"=2") * D$33</f>
        <v>228.8</v>
      </c>
      <c r="F104" s="43"/>
      <c r="G104" s="43"/>
      <c r="H104" s="43"/>
      <c r="I104" s="43"/>
      <c r="J104" s="43"/>
      <c r="K104" s="43"/>
      <c r="L104" s="43"/>
      <c r="M104" s="43"/>
      <c r="N104" s="43"/>
      <c r="O104" s="43"/>
      <c r="P104" s="43"/>
      <c r="Q104" s="43"/>
      <c r="R104" s="43"/>
      <c r="S104" s="43"/>
    </row>
    <row r="105" spans="1:19" x14ac:dyDescent="0.2">
      <c r="B105" s="76" t="str">
        <f>'Parameters List'!B105</f>
        <v>Unambiguous Range (km)</v>
      </c>
      <c r="C105" s="77">
        <f>$C$104*$C$163/1000</f>
        <v>34.296257195199999</v>
      </c>
      <c r="F105" s="43"/>
      <c r="G105" s="43"/>
      <c r="H105" s="43"/>
      <c r="I105" s="43"/>
      <c r="J105" s="43"/>
      <c r="K105" s="43"/>
      <c r="L105" s="43"/>
      <c r="M105" s="43"/>
      <c r="N105" s="43"/>
      <c r="O105" s="43"/>
      <c r="P105" s="43"/>
      <c r="Q105" s="43"/>
      <c r="R105" s="43"/>
      <c r="S105" s="43"/>
    </row>
    <row r="106" spans="1:19" x14ac:dyDescent="0.2">
      <c r="B106" s="76" t="str">
        <f>'Parameters List'!B106</f>
        <v>Total PRF (kHz)</v>
      </c>
      <c r="C106" s="77">
        <f>1000/$C$104</f>
        <v>4.3706293706293708</v>
      </c>
      <c r="F106" s="43"/>
      <c r="G106" s="43"/>
      <c r="H106" s="43"/>
      <c r="I106" s="43"/>
      <c r="J106" s="43"/>
      <c r="K106" s="43"/>
      <c r="L106" s="43"/>
      <c r="M106" s="43"/>
      <c r="N106" s="43"/>
      <c r="O106" s="43"/>
      <c r="P106" s="43"/>
      <c r="Q106" s="43"/>
      <c r="R106" s="43"/>
      <c r="S106" s="43"/>
    </row>
    <row r="107" spans="1:19" x14ac:dyDescent="0.2">
      <c r="B107" s="76" t="str">
        <f>'Parameters List'!B107</f>
        <v>Folding (Blind) Velocity (m/s)</v>
      </c>
      <c r="C107" s="77">
        <f>1000*$C$106/$C$168</f>
        <v>187.18310314685317</v>
      </c>
      <c r="F107" s="43"/>
      <c r="G107" s="43"/>
      <c r="H107" s="43"/>
      <c r="I107" s="43"/>
      <c r="J107" s="43"/>
      <c r="K107" s="43"/>
      <c r="L107" s="43"/>
      <c r="M107" s="43"/>
      <c r="N107" s="43"/>
      <c r="O107" s="43"/>
      <c r="P107" s="43"/>
      <c r="Q107" s="43"/>
      <c r="R107" s="43"/>
      <c r="S107" s="43"/>
    </row>
    <row r="108" spans="1:19" x14ac:dyDescent="0.2">
      <c r="B108" s="76" t="str">
        <f>'Parameters List'!B108</f>
        <v>Max Trk Vr STD for Res Vel Amb (m/s)</v>
      </c>
      <c r="C108" s="77">
        <f>$C$107/4</f>
        <v>46.795775786713293</v>
      </c>
      <c r="F108" s="43"/>
      <c r="G108" s="43"/>
      <c r="H108" s="43"/>
      <c r="I108" s="43"/>
      <c r="J108" s="43"/>
      <c r="K108" s="43"/>
      <c r="L108" s="43"/>
      <c r="M108" s="43"/>
      <c r="N108" s="43"/>
      <c r="O108" s="43"/>
      <c r="P108" s="43"/>
      <c r="Q108" s="43"/>
      <c r="R108" s="43"/>
      <c r="S108" s="43"/>
    </row>
    <row r="109" spans="1:19" x14ac:dyDescent="0.2">
      <c r="B109" s="76" t="str">
        <f>'Parameters List'!B109</f>
        <v>Antenna 1 PA Duty cycle</v>
      </c>
      <c r="C109" s="77">
        <f>C$100*IF(C$27&gt;0,C$27,C$26)+D$100*IF(D$27&gt;0,D$27,D$26)</f>
        <v>0.12587412587412586</v>
      </c>
      <c r="F109" s="43"/>
      <c r="G109" s="43"/>
      <c r="H109" s="43"/>
      <c r="I109" s="43"/>
      <c r="J109" s="43"/>
      <c r="K109" s="43"/>
      <c r="L109" s="43"/>
      <c r="M109" s="43"/>
      <c r="N109" s="43"/>
      <c r="O109" s="43"/>
      <c r="P109" s="43"/>
      <c r="Q109" s="43"/>
      <c r="R109" s="43"/>
      <c r="S109" s="43"/>
    </row>
    <row r="110" spans="1:19" x14ac:dyDescent="0.2">
      <c r="B110" s="76" t="str">
        <f>'Parameters List'!B110</f>
        <v>Antenna 2 PA Duty cycle</v>
      </c>
      <c r="C110" s="77">
        <f>C$100*IF(C$28&gt;0,C$28,C$26)+D$100*IF(D$28&gt;0,D$28,D$26)</f>
        <v>0.12587412587412586</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'Parameters List'!B112</f>
        <v>Tgt RCS (m^2):</v>
      </c>
      <c r="C112" s="74">
        <f>C88</f>
        <v>0.01</v>
      </c>
      <c r="D112" s="74">
        <v>0.01</v>
      </c>
      <c r="F112" s="43"/>
      <c r="G112" s="43"/>
      <c r="H112" s="43"/>
      <c r="I112" s="43"/>
      <c r="J112" s="43"/>
      <c r="K112" s="43"/>
      <c r="L112" s="43"/>
      <c r="M112" s="43"/>
      <c r="N112" s="43"/>
      <c r="O112" s="43"/>
      <c r="P112" s="43"/>
      <c r="Q112" s="43"/>
      <c r="R112" s="43"/>
      <c r="S112" s="43"/>
    </row>
    <row r="113" spans="2:19" x14ac:dyDescent="0.2">
      <c r="B113" s="78" t="str">
        <f>'Parameters List'!B113</f>
        <v>SNR @ Range (m):</v>
      </c>
      <c r="C113" s="74">
        <f>C44</f>
        <v>1139.2320946</v>
      </c>
      <c r="D113" s="74">
        <v>3000</v>
      </c>
    </row>
    <row r="114" spans="2:19" x14ac:dyDescent="0.2">
      <c r="B114" s="79" t="str">
        <f>'Parameters List'!B114</f>
        <v>Tgt @ADCin (dBm) - Ref. Rx</v>
      </c>
      <c r="C114" s="70">
        <f>$C$185+$C$186+$C$188+10*LOG10(C$112)+$C$189-$C$190-40*LOG10(C$113)+$C$171-C$84-C$85-$C$179*(C$80=1)</f>
        <v>-65.330054073425629</v>
      </c>
      <c r="D114" s="70">
        <f>$C$185+$C$186+$C$188+10*LOG10(D$112)+$C$189-$C$190-40*LOG10(D$113)+$C$171-D$84-D$85-$C$179*(D$80=1)</f>
        <v>-82.15041580350163</v>
      </c>
    </row>
    <row r="115" spans="2:19" x14ac:dyDescent="0.2">
      <c r="B115" s="95" t="str">
        <f>'Parameters List'!B115</f>
        <v>Tgt @ADCin (dBm) - 1st Rx - no calib.</v>
      </c>
      <c r="C115" s="70">
        <f>C$114-($C$188+$C$171-C$84-C$85-$C$179*(C$80=1))+$C$187+$C$170-C$82-C$83-$C$177*(C$80=1)</f>
        <v>-69.330054073425629</v>
      </c>
      <c r="D115" s="70">
        <f>D$114-($C$188+$C$171-D$84-D$85-$C$179*(D$80=1))+$C$187+$C$170-D$82-D$83-$C$177*(D$80=1)</f>
        <v>-86.15041580350163</v>
      </c>
      <c r="F115" s="43"/>
      <c r="G115" s="43"/>
      <c r="H115" s="43"/>
      <c r="I115" s="43"/>
      <c r="J115" s="43"/>
      <c r="K115" s="43"/>
      <c r="L115" s="43"/>
      <c r="M115" s="43"/>
      <c r="N115" s="43"/>
      <c r="O115" s="43"/>
      <c r="P115" s="43"/>
      <c r="Q115" s="43"/>
      <c r="R115" s="43"/>
      <c r="S115" s="43"/>
    </row>
    <row r="116" spans="2:19" x14ac:dyDescent="0.2">
      <c r="B116" s="95" t="str">
        <f>'Parameters List'!B116</f>
        <v>Tgt @ADCout (dBm) - 1st Rx</v>
      </c>
      <c r="C116" s="70">
        <f>C$114+20*LOG10($C$156/$C$157)-$C$177*(C$80=1)</f>
        <v>-45.330054073425629</v>
      </c>
      <c r="D116" s="70">
        <f>D$114+20*LOG10($C$156/$C$157)-$C$177*(D$80=1)</f>
        <v>-62.15041580350163</v>
      </c>
      <c r="F116" s="43"/>
      <c r="G116" s="43"/>
      <c r="H116" s="43"/>
      <c r="I116" s="43"/>
      <c r="J116" s="43"/>
      <c r="K116" s="43"/>
      <c r="L116" s="43"/>
      <c r="M116" s="43"/>
      <c r="N116" s="43"/>
      <c r="O116" s="43"/>
      <c r="P116" s="43"/>
      <c r="Q116" s="43"/>
      <c r="R116" s="43"/>
      <c r="S116" s="43"/>
    </row>
    <row r="117" spans="2:19" x14ac:dyDescent="0.2">
      <c r="B117" s="95" t="str">
        <f>'Parameters List'!B117</f>
        <v>Tgt @ADCout (dBm)</v>
      </c>
      <c r="C117" s="70">
        <f>20*LOG10(10^(C$114/20)+($C$155-1)*10^(C$116/20))+ (20*LOG10(C$34) - 2 * C$35) * (C$34&gt;1)</f>
        <v>-33.07437693903092</v>
      </c>
      <c r="D117" s="70">
        <f>20*LOG10(10^(D$114/20)+($C$155-1)*10^(D$116/20))+ (20*LOG10(D$34) - 2 * D$35) * (D$34&gt;1)</f>
        <v>-49.894738669106921</v>
      </c>
      <c r="G117" s="43"/>
      <c r="H117" s="43"/>
      <c r="I117" s="43"/>
      <c r="J117" s="43"/>
      <c r="K117" s="43"/>
      <c r="L117" s="43"/>
      <c r="M117" s="43"/>
      <c r="N117" s="43"/>
      <c r="O117" s="43"/>
      <c r="P117" s="43"/>
      <c r="Q117" s="43"/>
      <c r="R117" s="43"/>
      <c r="S117" s="43"/>
    </row>
    <row r="118" spans="2:19" x14ac:dyDescent="0.2">
      <c r="B118" s="79" t="str">
        <f>'Parameters List'!B118</f>
        <v>SNR (dB)</v>
      </c>
      <c r="C118" s="70">
        <f>C117-C$94-C$97+C$95</f>
        <v>27.080926129222426</v>
      </c>
      <c r="D118" s="70">
        <f>D117-D$94-D$97+D$95</f>
        <v>22.366729090136012</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'Parameters List'!B120</f>
        <v>Probability of Detection @ SNR (dB):</v>
      </c>
      <c r="C120" s="64">
        <v>15</v>
      </c>
      <c r="D120" s="64">
        <v>18</v>
      </c>
    </row>
    <row r="121" spans="2:19" x14ac:dyDescent="0.2">
      <c r="B121" s="71" t="str">
        <f>'Parameters List'!B121</f>
        <v>SWERLING (0, I, II, III, IV)</v>
      </c>
      <c r="C121" s="64">
        <v>1</v>
      </c>
      <c r="D121" s="64">
        <v>0</v>
      </c>
    </row>
    <row r="122" spans="2:19" x14ac:dyDescent="0.2">
      <c r="B122" s="79" t="str">
        <f>'Parameters List'!B122</f>
        <v>Probability of Detection</v>
      </c>
      <c r="C122" s="70">
        <f>pf_PD_PFA_CFAR("pd", C$74, C$120, C$121, C$68*2, 1)</f>
        <v>0.6181820390905115</v>
      </c>
      <c r="D122" s="70">
        <f>pf_PD_PFA_CFAR("pd", D$74, D$120, D$121, D$68*2, 1)</f>
        <v>0.9999760631200133</v>
      </c>
    </row>
    <row r="123" spans="2:19" x14ac:dyDescent="0.2">
      <c r="B123" s="71" t="str">
        <f>'Parameters List'!B123</f>
        <v>Pd for at least N of M detections (N,M)</v>
      </c>
      <c r="C123" s="105" t="s">
        <v>386</v>
      </c>
      <c r="D123" s="105" t="s">
        <v>386</v>
      </c>
    </row>
    <row r="124" spans="2:19" x14ac:dyDescent="0.2">
      <c r="B124" s="79" t="str">
        <f>'Parameters List'!B124</f>
        <v>Probability of Detection</v>
      </c>
      <c r="C124" s="70">
        <f>pf_PD_N_OUTOF_M(C$122, LEFT(C$123,FIND(",",C$123,1) - 1), MID(C$123,FIND(",",C$123,1)+1,100))</f>
        <v>0.92619322925372272</v>
      </c>
      <c r="D124" s="70">
        <f>pf_PD_N_OUTOF_M(D$122, LEFT(D$123,FIND(",",D$123,1) - 1), MID(D$123,FIND(",",D$123,1)+1,100))</f>
        <v>1</v>
      </c>
    </row>
    <row r="125" spans="2:19" x14ac:dyDescent="0.2">
      <c r="B125" s="75"/>
    </row>
    <row r="126" spans="2:19" x14ac:dyDescent="0.2">
      <c r="B126" s="71" t="str">
        <f>'Parameters List'!B126</f>
        <v>Target Revisit Time (sec)</v>
      </c>
      <c r="C126" s="64">
        <v>0.05</v>
      </c>
      <c r="D126" s="64">
        <v>0.05</v>
      </c>
    </row>
    <row r="127" spans="2:19" x14ac:dyDescent="0.2">
      <c r="B127" s="68" t="str">
        <f>'Parameters List'!B127</f>
        <v>Acceleration Folding (m/s2)</v>
      </c>
      <c r="C127" s="67">
        <f>$C$107/C$126</f>
        <v>3743.6620629370632</v>
      </c>
      <c r="D127" s="67">
        <f>$C$107/D$126</f>
        <v>3743.6620629370632</v>
      </c>
    </row>
    <row r="128" spans="2:19" x14ac:dyDescent="0.2">
      <c r="B128" s="80" t="str">
        <f>'Parameters List'!B128</f>
        <v>Maximum Allowed Acceleration (m/s2)</v>
      </c>
      <c r="C128" s="70">
        <f>($C$107/4)/C$126</f>
        <v>935.9155157342658</v>
      </c>
      <c r="D128" s="70">
        <f>($C$107/4)/D$126</f>
        <v>935.9155157342658</v>
      </c>
    </row>
    <row r="129" spans="2:19" x14ac:dyDescent="0.2">
      <c r="B129" s="80" t="str">
        <f>'Parameters List'!B129</f>
        <v>Acceleration Ambiguity (m/s2)</v>
      </c>
      <c r="C129" s="70">
        <f>C$127-C$128</f>
        <v>2807.7465472027975</v>
      </c>
      <c r="D129" s="70">
        <f>D$127-D$128</f>
        <v>2807.7465472027975</v>
      </c>
    </row>
    <row r="130" spans="2:19" x14ac:dyDescent="0.2">
      <c r="B130" s="75"/>
    </row>
    <row r="131" spans="2:19" x14ac:dyDescent="0.2">
      <c r="B131" s="78" t="str">
        <f>'Parameters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'Parameters List'!B132</f>
        <v>SNR @ Range (m):</v>
      </c>
      <c r="C132" s="74">
        <f>$C$163*C$36 + C$41</f>
        <v>89.958491600000002</v>
      </c>
      <c r="D132" s="74">
        <f>$C$163*D$36 + D$41</f>
        <v>1011.3254885</v>
      </c>
    </row>
    <row r="133" spans="2:19" x14ac:dyDescent="0.2">
      <c r="B133" s="79" t="str">
        <f>'Parameters List'!B133</f>
        <v>Tgt @ADCin (dBm) - Ref. Rx</v>
      </c>
      <c r="C133" s="70">
        <f>$C$185+$C$186+$C$188+10*LOG10(C$131)+$C$189-$C$190-40*LOG10(C$132)+$C$171-C$84-C$85-$C$179*(C$80=1)</f>
        <v>-21.227252202338207</v>
      </c>
      <c r="D133" s="70">
        <f>$C$185+$C$186+$C$188+10*LOG10(D$131)+$C$189-$C$190-40*LOG10(D$132)+$C$171-D$84-D$85-$C$179*(D$80=1)</f>
        <v>-53.26120373190534</v>
      </c>
    </row>
    <row r="134" spans="2:19" x14ac:dyDescent="0.2">
      <c r="B134" s="78" t="str">
        <f>'Parameters List'!B134</f>
        <v>Interferer @ Range (m)</v>
      </c>
      <c r="C134" s="74">
        <v>10000</v>
      </c>
      <c r="D134" s="74">
        <v>10000</v>
      </c>
    </row>
    <row r="135" spans="2:19" x14ac:dyDescent="0.2">
      <c r="B135" s="79" t="str">
        <f>'Parameters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'Parameters List'!B136</f>
        <v>Interferer @ ADCin (dBm) - 1st Rx</v>
      </c>
      <c r="C136" s="70">
        <f>C$135+20*LOG10($C$156/$C$157)-$C$177*(C$80=1)</f>
        <v>27.926533025505833</v>
      </c>
      <c r="D136" s="70">
        <f>$C$185+$C$186+$C$187-$C$166+$C$189-$C$190/3*2-20*LOG10(D$134)+$C$170-D$84-D$85-$C$177*(D$80=1)</f>
        <v>23.926533025505833</v>
      </c>
    </row>
    <row r="137" spans="2:19" x14ac:dyDescent="0.2">
      <c r="B137" s="81" t="str">
        <f>'Parameters List'!B137</f>
        <v>Ref. Rx Phase Noise @ADCin (dBm/bin)</v>
      </c>
      <c r="C137" s="67">
        <f>C$135+$C$165+10*LOG10(1/(C$30*10^-3))+10*LOG10($C$175*10^6/($C$106*10^3))</f>
        <v>-65.135266714333028</v>
      </c>
      <c r="D137" s="67">
        <f>D$135+$C$165+10*LOG10(1/(D$30*10^-3))+10*LOG10($C$175*10^6/($C$106*10^3))</f>
        <v>-65.135266714333028</v>
      </c>
    </row>
    <row r="138" spans="2:19" x14ac:dyDescent="0.2">
      <c r="B138" s="81" t="str">
        <f>'Parameters List'!B138</f>
        <v>Ref. Rx Phase Noise @ADCout (dBm/bin)</v>
      </c>
      <c r="C138" s="67">
        <f>C$137+C$95</f>
        <v>-32.061667234655282</v>
      </c>
      <c r="D138" s="67">
        <f>D$137+D$95</f>
        <v>-19.95313358150635</v>
      </c>
    </row>
    <row r="139" spans="2:19" x14ac:dyDescent="0.2">
      <c r="B139" s="81" t="str">
        <f>'Parameters List'!B139</f>
        <v>Ref. Rx Total Noise @ADCout (dBm/bin)</v>
      </c>
      <c r="C139" s="67">
        <f>10*LOG10(10 ^ (C$138 / 10) + 10 ^ (C$93 / 10))</f>
        <v>-31.906349167116925</v>
      </c>
      <c r="D139" s="67">
        <f>10*LOG10(10 ^ (D$138 / 10) + 10 ^ (D$93 / 10))</f>
        <v>-19.943413462901841</v>
      </c>
    </row>
    <row r="140" spans="2:19" x14ac:dyDescent="0.2">
      <c r="B140" s="81" t="str">
        <f>'Parameters List'!B140</f>
        <v>1st Rx Phase Noise @ADCout (dBm/bin)</v>
      </c>
      <c r="C140" s="67">
        <f>C$136+$C$165+10*LOG10(1/(C$30*10^-3))+10*LOG10($C$175*10^6/($C$106*10^3))+C$95</f>
        <v>-12.061667234655289</v>
      </c>
      <c r="D140" s="67">
        <f>D$136+$C$165+10*LOG10(1/(D$30*10^-3))+10*LOG10($C$175*10^6/($C$106*10^3))+D$95</f>
        <v>-3.9531335815063571</v>
      </c>
    </row>
    <row r="141" spans="2:19" x14ac:dyDescent="0.2">
      <c r="B141" s="81" t="str">
        <f>'Parameters List'!B141</f>
        <v>1st Rx Total Noise @ADCout (dBm/bin)</v>
      </c>
      <c r="C141" s="67">
        <f>10*LOG10(10 ^ (C$140 / 10) + 10 ^ (C$92 / 10))</f>
        <v>-12.038818188607483</v>
      </c>
      <c r="D141" s="67">
        <f>10*LOG10(10 ^ (D$140 / 10) + 10 ^ (D$92 / 10))</f>
        <v>-3.9495937657506426</v>
      </c>
    </row>
    <row r="142" spans="2:19" x14ac:dyDescent="0.2">
      <c r="B142" s="81" t="str">
        <f>'Parameters List'!B142</f>
        <v>Total Noise Power @ADCout (dBm/bin)</v>
      </c>
      <c r="C142" s="67">
        <f>10*LOG10((($C$155-1) * 10^(C$140/20) + 10^(C$138/20))^2*((C$34 - 10^(C$35/10))*(C$34&gt;1) + 1) ^ 2 + 10^(C$94/10))</f>
        <v>0.19955177107896485</v>
      </c>
      <c r="D142" s="67">
        <f>10*LOG10((($C$155-1) * 10^(D$140/20) + 10^(D$138/20))^2*((D$34 - 10^(D$35/10))*(D$34&gt;1) + 1) ^ 2 + 10^(D$94/10))</f>
        <v>8.4264113986580575</v>
      </c>
    </row>
    <row r="143" spans="2:19" x14ac:dyDescent="0.2">
      <c r="B143" s="79" t="str">
        <f>'Parameters List'!B143</f>
        <v>SNR (dB)</v>
      </c>
      <c r="C143" s="70">
        <f>IF(C$134&lt;=0, C$133+C$96-C$94, C$133+C$96 -C$142)-C$97</f>
        <v>42.23967863582773</v>
      </c>
      <c r="D143" s="70">
        <f>IF(D$134&lt;=0, D$133+D$96-D$94, D$133+D$96 -D$142)-D$97</f>
        <v>14.085032169671086</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'Parameters List'!B146</f>
        <v>Ref Rx Noise @ADCout (dBm/bin)</v>
      </c>
      <c r="C146" s="70">
        <f>C$93-C$95</f>
        <v>-79.522999566398113</v>
      </c>
      <c r="D146" s="83">
        <f>D$93-D$95</f>
        <v>-91.631533219547052</v>
      </c>
      <c r="F146" s="43"/>
      <c r="G146" s="43"/>
      <c r="H146" s="43"/>
      <c r="I146" s="43"/>
      <c r="J146" s="43"/>
      <c r="K146" s="43"/>
      <c r="L146" s="43"/>
      <c r="M146" s="43"/>
      <c r="N146" s="43"/>
      <c r="O146" s="43"/>
      <c r="P146" s="43"/>
      <c r="Q146" s="43"/>
      <c r="R146" s="43"/>
      <c r="S146" s="43"/>
    </row>
    <row r="147" spans="2:19" x14ac:dyDescent="0.2">
      <c r="B147" s="82" t="str">
        <f>'Parameters List'!B147</f>
        <v>1st Rx Noise @ADCout (dBm/bin)</v>
      </c>
      <c r="C147" s="70">
        <f>C$92-C$95</f>
        <v>-67.912999566398128</v>
      </c>
      <c r="D147" s="83">
        <f>D$92-D$95</f>
        <v>-80.021533219547067</v>
      </c>
    </row>
    <row r="148" spans="2:19" ht="15" thickBot="1" x14ac:dyDescent="0.25">
      <c r="B148" s="84" t="str">
        <f>'Parameters List'!B148</f>
        <v>Beam Total Noise @ADCout (dBm/bin)</v>
      </c>
      <c r="C148" s="85">
        <f>C$94-C$95 - (10*LOG10(C$34) - C$35) * (C$34&gt;1)</f>
        <v>-61.818097073080892</v>
      </c>
      <c r="D148" s="86">
        <f>D$94-D$95 - (10*LOG10(D$34) - D$35) * (D$34&gt;1)</f>
        <v>-73.926630726229831</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'Parameters List'!B151</f>
        <v>Ref Rx Noise @ADCout (dBm/bin)</v>
      </c>
      <c r="C151" s="70">
        <f>C$139-C$95</f>
        <v>-64.979948646794668</v>
      </c>
      <c r="D151" s="83">
        <f>D$139-D$95</f>
        <v>-65.125546595728522</v>
      </c>
      <c r="F151" s="43"/>
      <c r="G151" s="43"/>
      <c r="H151" s="43"/>
      <c r="I151" s="43"/>
      <c r="J151" s="43"/>
      <c r="K151" s="43"/>
      <c r="L151" s="43"/>
      <c r="M151" s="43"/>
      <c r="N151" s="43"/>
      <c r="O151" s="43"/>
      <c r="P151" s="43"/>
      <c r="Q151" s="43"/>
      <c r="R151" s="43"/>
      <c r="S151" s="43"/>
    </row>
    <row r="152" spans="2:19" x14ac:dyDescent="0.2">
      <c r="B152" s="82" t="str">
        <f>'Parameters List'!B152</f>
        <v>1st Rx Noise @ADCout (dBm/bin)</v>
      </c>
      <c r="C152" s="70">
        <f>C$141-C$95</f>
        <v>-45.112417668285232</v>
      </c>
      <c r="D152" s="83">
        <f>D$141-D$95</f>
        <v>-49.13172689857732</v>
      </c>
    </row>
    <row r="153" spans="2:19" ht="15" thickBot="1" x14ac:dyDescent="0.25">
      <c r="B153" s="84" t="str">
        <f>'Parameters List'!B153</f>
        <v>Beam Total Noise @ADCout (dBm/bin)</v>
      </c>
      <c r="C153" s="85">
        <f>10*LOG10(10 ^ ((C$137 + C$96 - (20*LOG10(C$34) - 2*C$35) * (C$34&gt;1))/ 10) + 10 ^ ((C$94 - (10*LOG10(C$34) - C$35) * (C$34&gt;1)) / 10)) - C$95</f>
        <v>-32.874047708598773</v>
      </c>
      <c r="D153" s="86">
        <f>10*LOG10(10 ^ ((D$137 + D$96 - (20*LOG10(D$34) - 2*D$35) * (D$34&gt;1))/ 10) + 10 ^ ((D$94 - (10*LOG10(D$34) - D$35) * (D$34&gt;1)) / 10)) - D$95</f>
        <v>-32.879248337423064</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'General System Parameters'!B9</f>
        <v># Rcvrs</v>
      </c>
      <c r="C155" s="33">
        <f>'General System Parameters'!C9</f>
        <v>5</v>
      </c>
      <c r="F155" s="43"/>
      <c r="G155" s="43"/>
      <c r="H155" s="43"/>
      <c r="I155" s="43"/>
      <c r="J155" s="43"/>
      <c r="K155" s="43"/>
      <c r="L155" s="43"/>
      <c r="M155" s="43"/>
      <c r="N155" s="43"/>
      <c r="O155" s="43"/>
      <c r="P155" s="43"/>
      <c r="Q155" s="43"/>
      <c r="R155" s="43"/>
      <c r="S155" s="43"/>
    </row>
    <row r="156" spans="2:19" x14ac:dyDescent="0.2">
      <c r="B156" s="32" t="str">
        <f>'General System Parameters'!B10</f>
        <v># Patches in 1st Rx</v>
      </c>
      <c r="C156" s="33">
        <f>'General System Parameters'!C10</f>
        <v>10</v>
      </c>
      <c r="F156" s="43"/>
      <c r="G156" s="43"/>
      <c r="H156" s="43"/>
      <c r="I156" s="43"/>
      <c r="J156" s="43"/>
      <c r="K156" s="43"/>
      <c r="L156" s="43"/>
      <c r="M156" s="43"/>
      <c r="N156" s="43"/>
      <c r="O156" s="43"/>
      <c r="P156" s="43"/>
      <c r="Q156" s="43"/>
      <c r="R156" s="43"/>
      <c r="S156" s="43"/>
    </row>
    <row r="157" spans="2:19" x14ac:dyDescent="0.2">
      <c r="B157" s="32" t="str">
        <f>'General System Parameters'!B11</f>
        <v># Patches in Ref (Guard) Rx</v>
      </c>
      <c r="C157" s="33">
        <f>'General System Parameters'!C11</f>
        <v>1</v>
      </c>
      <c r="F157" s="43"/>
      <c r="G157" s="43"/>
      <c r="H157" s="43"/>
      <c r="I157" s="43"/>
      <c r="J157" s="43"/>
      <c r="K157" s="43"/>
      <c r="L157" s="43"/>
      <c r="M157" s="43"/>
      <c r="N157" s="43"/>
      <c r="O157" s="43"/>
      <c r="P157" s="43"/>
      <c r="Q157" s="43"/>
      <c r="R157" s="43"/>
      <c r="S157" s="43"/>
    </row>
    <row r="158" spans="2:19" x14ac:dyDescent="0.2">
      <c r="B158" s="32" t="str">
        <f>'General System Parameters'!B12</f>
        <v>Typical System Gain (dB) - 1st Rx</v>
      </c>
      <c r="C158" s="33">
        <f>'General System Parameters'!C12</f>
        <v>59.76</v>
      </c>
      <c r="F158" s="43"/>
      <c r="G158" s="43"/>
      <c r="H158" s="43"/>
      <c r="I158" s="43"/>
      <c r="J158" s="43"/>
      <c r="K158" s="43"/>
      <c r="L158" s="43"/>
      <c r="M158" s="43"/>
      <c r="N158" s="43"/>
      <c r="O158" s="43"/>
      <c r="P158" s="43"/>
      <c r="Q158" s="43"/>
      <c r="R158" s="43"/>
      <c r="S158" s="43"/>
    </row>
    <row r="159" spans="2:19" x14ac:dyDescent="0.2">
      <c r="B159" s="32" t="str">
        <f>'General System Parameters'!B13</f>
        <v>Typical System Gain (dB) - Ref (Guard) Rx</v>
      </c>
      <c r="C159" s="33">
        <f>'General System Parameters'!C13</f>
        <v>54.1</v>
      </c>
      <c r="F159" s="43"/>
      <c r="G159" s="43"/>
      <c r="H159" s="43"/>
      <c r="I159" s="43"/>
      <c r="J159" s="43"/>
      <c r="K159" s="43"/>
      <c r="L159" s="43"/>
      <c r="M159" s="43"/>
      <c r="N159" s="43"/>
      <c r="O159" s="43"/>
      <c r="P159" s="43"/>
      <c r="Q159" s="43"/>
      <c r="R159" s="43"/>
      <c r="S159" s="43"/>
    </row>
    <row r="160" spans="2:19" x14ac:dyDescent="0.2">
      <c r="B160" s="32" t="str">
        <f>'General System Parameters'!B14</f>
        <v>Typical 1st Rx Calibration (dB)</v>
      </c>
      <c r="C160" s="33">
        <f>'General System Parameters'!C14</f>
        <v>4.3400000000000105</v>
      </c>
      <c r="F160" s="43"/>
      <c r="G160" s="43"/>
      <c r="H160" s="43"/>
      <c r="I160" s="43"/>
      <c r="J160" s="43"/>
      <c r="K160" s="43"/>
      <c r="L160" s="43"/>
      <c r="M160" s="43"/>
      <c r="N160" s="43"/>
      <c r="O160" s="43"/>
      <c r="P160" s="43"/>
      <c r="Q160" s="43"/>
      <c r="R160" s="43"/>
      <c r="S160" s="43"/>
    </row>
    <row r="161" spans="2:19" x14ac:dyDescent="0.2">
      <c r="B161" s="32" t="str">
        <f>'General System Parameters'!B15</f>
        <v>System Propagation Delay (us)</v>
      </c>
      <c r="C161" s="33">
        <f>'General System Parameters'!C15</f>
        <v>0.15</v>
      </c>
      <c r="F161" s="43"/>
      <c r="G161" s="43"/>
      <c r="H161" s="43"/>
      <c r="I161" s="43"/>
      <c r="J161" s="43"/>
      <c r="K161" s="43"/>
      <c r="L161" s="43"/>
      <c r="M161" s="43"/>
      <c r="N161" s="43"/>
      <c r="O161" s="43"/>
      <c r="P161" s="43"/>
      <c r="Q161" s="43"/>
      <c r="R161" s="43"/>
      <c r="S161" s="43"/>
    </row>
    <row r="162" spans="2:19" x14ac:dyDescent="0.2">
      <c r="B162" s="32" t="str">
        <f>'General System Parameters'!B16</f>
        <v>c (m/s)</v>
      </c>
      <c r="C162" s="33">
        <f>'General System Parameters'!C16</f>
        <v>299792458</v>
      </c>
      <c r="F162" s="43"/>
      <c r="G162" s="43"/>
      <c r="H162" s="43"/>
      <c r="I162" s="43"/>
      <c r="J162" s="43"/>
      <c r="K162" s="43"/>
      <c r="L162" s="43"/>
      <c r="M162" s="43"/>
      <c r="N162" s="43"/>
      <c r="O162" s="43"/>
      <c r="P162" s="43"/>
      <c r="Q162" s="43"/>
      <c r="R162" s="43"/>
      <c r="S162" s="43"/>
    </row>
    <row r="163" spans="2:19" x14ac:dyDescent="0.2">
      <c r="B163" s="32" t="str">
        <f>'General System Parameters'!B17</f>
        <v>c/2 (m/μs)</v>
      </c>
      <c r="C163" s="33">
        <f>'General System Parameters'!C17</f>
        <v>149.89622900000001</v>
      </c>
      <c r="F163" s="43"/>
      <c r="G163" s="43"/>
      <c r="H163" s="43"/>
      <c r="I163" s="43"/>
      <c r="J163" s="43"/>
      <c r="K163" s="43"/>
      <c r="L163" s="43"/>
      <c r="M163" s="43"/>
      <c r="N163" s="43"/>
      <c r="O163" s="43"/>
      <c r="P163" s="43"/>
      <c r="Q163" s="43"/>
      <c r="R163" s="43"/>
      <c r="S163" s="43"/>
    </row>
    <row r="164" spans="2:19" x14ac:dyDescent="0.2">
      <c r="B164" s="30" t="str">
        <f>'General System Parameters'!B18</f>
        <v>Freq (GHz)</v>
      </c>
      <c r="C164" s="31">
        <f>'General System Parameters'!C18</f>
        <v>3.5</v>
      </c>
      <c r="F164" s="43"/>
      <c r="G164" s="43"/>
      <c r="H164" s="43"/>
      <c r="I164" s="43"/>
      <c r="J164" s="43"/>
      <c r="K164" s="43"/>
      <c r="L164" s="43"/>
      <c r="M164" s="43"/>
      <c r="N164" s="43"/>
      <c r="O164" s="43"/>
      <c r="P164" s="43"/>
      <c r="Q164" s="43"/>
      <c r="R164" s="43"/>
      <c r="S164" s="43"/>
    </row>
    <row r="165" spans="2:19" x14ac:dyDescent="0.2">
      <c r="B165" s="30" t="str">
        <f>'General System Parameters'!B19</f>
        <v>Phase Noise Level (dBc/Hz)</v>
      </c>
      <c r="C165" s="31">
        <f>'General System Parameters'!C19</f>
        <v>-125</v>
      </c>
      <c r="F165" s="43"/>
      <c r="G165" s="43"/>
      <c r="H165" s="43"/>
      <c r="I165" s="43"/>
      <c r="J165" s="43"/>
      <c r="K165" s="43"/>
      <c r="L165" s="43"/>
      <c r="M165" s="43"/>
      <c r="N165" s="43"/>
      <c r="O165" s="43"/>
      <c r="P165" s="43"/>
      <c r="Q165" s="43"/>
      <c r="R165" s="43"/>
      <c r="S165" s="43"/>
    </row>
    <row r="166" spans="2:19" x14ac:dyDescent="0.2">
      <c r="B166" s="30" t="str">
        <f>'General System Parameters'!B20</f>
        <v>Polarization Loss (dB)</v>
      </c>
      <c r="C166" s="31">
        <f>'General System Parameters'!C20</f>
        <v>0</v>
      </c>
      <c r="F166" s="43"/>
      <c r="G166" s="43"/>
      <c r="H166" s="43"/>
      <c r="I166" s="43"/>
      <c r="J166" s="43"/>
      <c r="K166" s="43"/>
      <c r="L166" s="43"/>
      <c r="M166" s="43"/>
      <c r="N166" s="43"/>
      <c r="O166" s="43"/>
      <c r="P166" s="43"/>
      <c r="Q166" s="43"/>
      <c r="R166" s="43"/>
      <c r="S166" s="43"/>
    </row>
    <row r="167" spans="2:19" x14ac:dyDescent="0.2">
      <c r="B167" s="34" t="str">
        <f>'General System Parameters'!B21</f>
        <v>λ (m)</v>
      </c>
      <c r="C167" s="35">
        <f>'General System Parameters'!C21</f>
        <v>8.5654988000000001E-2</v>
      </c>
      <c r="F167" s="43"/>
      <c r="G167" s="43"/>
      <c r="H167" s="43"/>
      <c r="I167" s="43"/>
      <c r="J167" s="43"/>
      <c r="K167" s="43"/>
      <c r="L167" s="43"/>
      <c r="M167" s="43"/>
      <c r="N167" s="43"/>
      <c r="O167" s="43"/>
      <c r="P167" s="43"/>
      <c r="Q167" s="43"/>
      <c r="R167" s="43"/>
      <c r="S167" s="43"/>
    </row>
    <row r="168" spans="2:19" x14ac:dyDescent="0.2">
      <c r="B168" s="34" t="str">
        <f>'General System Parameters'!B22</f>
        <v>Doppler factor (Hz/(m/sec))</v>
      </c>
      <c r="C168" s="35">
        <f>'General System Parameters'!C22</f>
        <v>23.349486663870643</v>
      </c>
      <c r="F168" s="43"/>
      <c r="G168" s="43"/>
      <c r="H168" s="43"/>
      <c r="I168" s="43"/>
      <c r="J168" s="43"/>
      <c r="K168" s="43"/>
      <c r="L168" s="43"/>
      <c r="M168" s="43"/>
      <c r="N168" s="43"/>
      <c r="O168" s="43"/>
      <c r="P168" s="43"/>
      <c r="Q168" s="43"/>
      <c r="R168" s="43"/>
      <c r="S168" s="43"/>
    </row>
    <row r="169" spans="2:19" x14ac:dyDescent="0.2">
      <c r="B169" s="36" t="str">
        <f>'General System Parameters'!B23</f>
        <v>ALC</v>
      </c>
      <c r="C169" s="31">
        <f>'General System Parameters'!C23</f>
        <v>0</v>
      </c>
      <c r="F169" s="43"/>
      <c r="G169" s="43"/>
      <c r="H169" s="43"/>
      <c r="I169" s="43"/>
      <c r="J169" s="43"/>
      <c r="K169" s="43"/>
      <c r="L169" s="43"/>
      <c r="M169" s="43"/>
      <c r="N169" s="43"/>
      <c r="O169" s="43"/>
      <c r="P169" s="43"/>
      <c r="Q169" s="43"/>
      <c r="R169" s="43"/>
      <c r="S169" s="43"/>
    </row>
    <row r="170" spans="2:19" x14ac:dyDescent="0.2">
      <c r="B170" s="36" t="str">
        <f>'General System Parameters'!B24</f>
        <v>Actual System Gain (dB) - 1st Rx</v>
      </c>
      <c r="C170" s="31">
        <f>'General System Parameters'!C24</f>
        <v>60</v>
      </c>
      <c r="F170" s="43"/>
      <c r="G170" s="43"/>
      <c r="H170" s="43"/>
      <c r="I170" s="43"/>
      <c r="J170" s="43"/>
      <c r="K170" s="43"/>
      <c r="L170" s="43"/>
      <c r="M170" s="43"/>
      <c r="N170" s="43"/>
      <c r="O170" s="43"/>
      <c r="P170" s="43"/>
      <c r="Q170" s="43"/>
      <c r="R170" s="43"/>
      <c r="S170" s="43"/>
    </row>
    <row r="171" spans="2:19" x14ac:dyDescent="0.2">
      <c r="B171" s="36" t="str">
        <f>'General System Parameters'!B25</f>
        <v>Actual System Gain (dB) - Ref Rx</v>
      </c>
      <c r="C171" s="31">
        <f>'General System Parameters'!C25</f>
        <v>54</v>
      </c>
      <c r="F171" s="43"/>
      <c r="G171" s="43"/>
      <c r="H171" s="43"/>
      <c r="I171" s="43"/>
      <c r="J171" s="43"/>
      <c r="K171" s="43"/>
      <c r="L171" s="43"/>
      <c r="M171" s="43"/>
      <c r="N171" s="43"/>
      <c r="O171" s="43"/>
      <c r="P171" s="43"/>
      <c r="Q171" s="43"/>
      <c r="R171" s="43"/>
      <c r="S171" s="43"/>
    </row>
    <row r="172" spans="2:19" x14ac:dyDescent="0.2">
      <c r="B172" s="34" t="str">
        <f>'General System Parameters'!B26</f>
        <v>Actual 1st Rx Calibration (dB)</v>
      </c>
      <c r="C172" s="35">
        <f>'General System Parameters'!C26</f>
        <v>4</v>
      </c>
      <c r="F172" s="43"/>
      <c r="G172" s="43"/>
      <c r="H172" s="43"/>
      <c r="I172" s="43"/>
      <c r="J172" s="43"/>
      <c r="K172" s="43"/>
      <c r="L172" s="43"/>
      <c r="M172" s="43"/>
      <c r="N172" s="43"/>
      <c r="O172" s="43"/>
      <c r="P172" s="43"/>
      <c r="Q172" s="43"/>
      <c r="R172" s="43"/>
      <c r="S172" s="43"/>
    </row>
    <row r="173" spans="2:19" x14ac:dyDescent="0.2">
      <c r="B173" s="32" t="str">
        <f>'General System Parameters'!B27</f>
        <v>KT (dBm/Hz)</v>
      </c>
      <c r="C173" s="33">
        <f>'General System Parameters'!C27</f>
        <v>-174</v>
      </c>
      <c r="F173" s="43"/>
      <c r="G173" s="43"/>
      <c r="H173" s="43"/>
      <c r="I173" s="43"/>
      <c r="J173" s="43"/>
      <c r="K173" s="43"/>
      <c r="L173" s="43"/>
      <c r="M173" s="43"/>
      <c r="N173" s="43"/>
      <c r="O173" s="43"/>
      <c r="P173" s="43"/>
      <c r="Q173" s="43"/>
      <c r="R173" s="43"/>
      <c r="S173" s="43"/>
    </row>
    <row r="174" spans="2:19" x14ac:dyDescent="0.2">
      <c r="B174" s="32" t="str">
        <f>'General System Parameters'!B28</f>
        <v>Sample Period (us)</v>
      </c>
      <c r="C174" s="33">
        <f>'General System Parameters'!C28</f>
        <v>1.2500000000000001E-2</v>
      </c>
      <c r="F174" s="43"/>
      <c r="G174" s="43"/>
      <c r="H174" s="43"/>
      <c r="I174" s="43"/>
      <c r="J174" s="43"/>
      <c r="K174" s="43"/>
      <c r="L174" s="43"/>
      <c r="M174" s="43"/>
      <c r="N174" s="43"/>
      <c r="O174" s="43"/>
      <c r="P174" s="43"/>
      <c r="Q174" s="43"/>
      <c r="R174" s="43"/>
      <c r="S174" s="43"/>
    </row>
    <row r="175" spans="2:19" x14ac:dyDescent="0.2">
      <c r="B175" s="37" t="str">
        <f>'General System Parameters'!B29</f>
        <v>ADC Bandwidth (MHz)</v>
      </c>
      <c r="C175" s="35">
        <f>'General System Parameters'!C29</f>
        <v>40</v>
      </c>
      <c r="F175" s="43"/>
      <c r="G175" s="43"/>
      <c r="H175" s="43"/>
      <c r="I175" s="43"/>
      <c r="J175" s="43"/>
      <c r="K175" s="43"/>
      <c r="L175" s="43"/>
      <c r="M175" s="43"/>
      <c r="N175" s="43"/>
      <c r="O175" s="43"/>
      <c r="P175" s="43"/>
      <c r="Q175" s="43"/>
      <c r="R175" s="43"/>
      <c r="S175" s="43"/>
    </row>
    <row r="176" spans="2:19" x14ac:dyDescent="0.2">
      <c r="B176" s="32" t="str">
        <f>'General System Parameters'!B30</f>
        <v>ADC Noise Level (dBm)</v>
      </c>
      <c r="C176" s="33">
        <f>'General System Parameters'!C30</f>
        <v>-65</v>
      </c>
      <c r="F176" s="43"/>
      <c r="G176" s="43"/>
      <c r="H176" s="43"/>
      <c r="I176" s="43"/>
      <c r="J176" s="43"/>
      <c r="K176" s="43"/>
      <c r="L176" s="43"/>
      <c r="M176" s="43"/>
      <c r="N176" s="43"/>
      <c r="O176" s="43"/>
      <c r="P176" s="43"/>
      <c r="Q176" s="43"/>
      <c r="R176" s="43"/>
      <c r="S176" s="43"/>
    </row>
    <row r="177" spans="2:19" x14ac:dyDescent="0.2">
      <c r="B177" s="32" t="str">
        <f>'General System Parameters'!B31</f>
        <v>Tapering Signal Gain Loss (dB) - 1st Rx</v>
      </c>
      <c r="C177" s="33">
        <f>'General System Parameters'!C31</f>
        <v>3.51</v>
      </c>
      <c r="F177" s="43"/>
      <c r="G177" s="43"/>
      <c r="H177" s="43"/>
      <c r="I177" s="43"/>
      <c r="J177" s="43"/>
      <c r="K177" s="43"/>
      <c r="L177" s="43"/>
      <c r="M177" s="43"/>
      <c r="N177" s="43"/>
      <c r="O177" s="43"/>
      <c r="P177" s="43"/>
      <c r="Q177" s="43"/>
      <c r="R177" s="43"/>
      <c r="S177" s="43"/>
    </row>
    <row r="178" spans="2:19" x14ac:dyDescent="0.2">
      <c r="B178" s="32" t="str">
        <f>'General System Parameters'!B32</f>
        <v>Tapering Noise Gain Loss (dB) - 1st Rx</v>
      </c>
      <c r="C178" s="33">
        <f>'General System Parameters'!C32</f>
        <v>3.1337000000000002</v>
      </c>
      <c r="F178" s="43"/>
      <c r="G178" s="43"/>
      <c r="H178" s="43"/>
      <c r="I178" s="43"/>
      <c r="J178" s="43"/>
      <c r="K178" s="43"/>
      <c r="L178" s="43"/>
      <c r="M178" s="43"/>
      <c r="N178" s="43"/>
      <c r="O178" s="43"/>
      <c r="P178" s="43"/>
      <c r="Q178" s="43"/>
      <c r="R178" s="43"/>
      <c r="S178" s="43"/>
    </row>
    <row r="179" spans="2:19" x14ac:dyDescent="0.2">
      <c r="B179" s="32" t="str">
        <f>'General System Parameters'!B33</f>
        <v>Tapering Signal Gain Loss (dB) - Ref (Guard) Rx</v>
      </c>
      <c r="C179" s="33">
        <f>'General System Parameters'!C33</f>
        <v>0</v>
      </c>
      <c r="F179" s="43"/>
      <c r="G179" s="43"/>
      <c r="H179" s="43"/>
      <c r="I179" s="43"/>
      <c r="J179" s="43"/>
      <c r="K179" s="43"/>
      <c r="L179" s="43"/>
      <c r="M179" s="43"/>
      <c r="N179" s="43"/>
      <c r="O179" s="43"/>
      <c r="P179" s="43"/>
      <c r="Q179" s="43"/>
      <c r="R179" s="43"/>
      <c r="S179" s="43"/>
    </row>
    <row r="180" spans="2:19" x14ac:dyDescent="0.2">
      <c r="B180" s="32" t="str">
        <f>'General System Parameters'!B34</f>
        <v>Tapering Noise Gain Loss (dB) - Ref (Guard) Rx</v>
      </c>
      <c r="C180" s="33">
        <f>'General System Parameters'!C34</f>
        <v>0</v>
      </c>
      <c r="F180" s="43"/>
      <c r="G180" s="43"/>
      <c r="H180" s="43"/>
      <c r="I180" s="43"/>
      <c r="J180" s="43"/>
      <c r="K180" s="43"/>
      <c r="L180" s="43"/>
      <c r="M180" s="43"/>
      <c r="N180" s="43"/>
      <c r="O180" s="43"/>
      <c r="P180" s="43"/>
      <c r="Q180" s="43"/>
      <c r="R180" s="43"/>
      <c r="S180" s="43"/>
    </row>
    <row r="181" spans="2:19" x14ac:dyDescent="0.2">
      <c r="B181" s="37" t="str">
        <f>'General System Parameters'!B35</f>
        <v>Tapering Rx Loss (dB)</v>
      </c>
      <c r="C181" s="35">
        <f>'General System Parameters'!C35</f>
        <v>0.37629999999999963</v>
      </c>
      <c r="F181" s="43"/>
      <c r="G181" s="43"/>
      <c r="H181" s="43"/>
      <c r="I181" s="43"/>
      <c r="J181" s="43"/>
      <c r="K181" s="43"/>
      <c r="L181" s="43"/>
      <c r="M181" s="43"/>
      <c r="N181" s="43"/>
      <c r="O181" s="43"/>
      <c r="P181" s="43"/>
      <c r="Q181" s="43"/>
      <c r="R181" s="43"/>
      <c r="S181" s="43"/>
    </row>
    <row r="182" spans="2:19" x14ac:dyDescent="0.2">
      <c r="B182" s="30" t="str">
        <f>'General System Parameters'!B36</f>
        <v>Number of T/R modules</v>
      </c>
      <c r="C182" s="31">
        <f>'General System Parameters'!C36</f>
        <v>41</v>
      </c>
      <c r="F182" s="43"/>
      <c r="G182" s="43"/>
      <c r="H182" s="43"/>
      <c r="I182" s="43"/>
      <c r="J182" s="43"/>
      <c r="K182" s="43"/>
      <c r="L182" s="43"/>
      <c r="M182" s="43"/>
      <c r="N182" s="43"/>
      <c r="O182" s="43"/>
      <c r="P182" s="43"/>
      <c r="Q182" s="43"/>
      <c r="R182" s="43"/>
      <c r="S182" s="43"/>
    </row>
    <row r="183" spans="2:19" x14ac:dyDescent="0.2">
      <c r="B183" s="30" t="str">
        <f>'General System Parameters'!B37</f>
        <v>Power per T/R module</v>
      </c>
      <c r="C183" s="31">
        <f>'General System Parameters'!C37</f>
        <v>10</v>
      </c>
      <c r="F183" s="43"/>
      <c r="G183" s="43"/>
      <c r="H183" s="43"/>
      <c r="I183" s="43"/>
      <c r="J183" s="43"/>
      <c r="K183" s="43"/>
      <c r="L183" s="43"/>
      <c r="M183" s="43"/>
      <c r="N183" s="43"/>
      <c r="O183" s="43"/>
      <c r="P183" s="43"/>
      <c r="Q183" s="43"/>
      <c r="R183" s="43"/>
      <c r="S183" s="43"/>
    </row>
    <row r="184" spans="2:19" x14ac:dyDescent="0.2">
      <c r="B184" s="30" t="str">
        <f>'General System Parameters'!B38</f>
        <v>Gain per T/R module [dB]</v>
      </c>
      <c r="C184" s="31">
        <f>'General System Parameters'!C38</f>
        <v>5</v>
      </c>
      <c r="F184" s="43"/>
      <c r="G184" s="43"/>
      <c r="H184" s="43"/>
      <c r="I184" s="43"/>
      <c r="J184" s="43"/>
      <c r="K184" s="43"/>
      <c r="L184" s="43"/>
      <c r="M184" s="43"/>
      <c r="N184" s="43"/>
      <c r="O184" s="43"/>
      <c r="P184" s="43"/>
      <c r="Q184" s="43"/>
      <c r="R184" s="43"/>
      <c r="S184" s="43"/>
    </row>
    <row r="185" spans="2:19" x14ac:dyDescent="0.2">
      <c r="B185" s="37" t="str">
        <f>'General System Parameters'!B39</f>
        <v>Available Power (dBm)</v>
      </c>
      <c r="C185" s="35">
        <f>'General System Parameters'!C39</f>
        <v>56.127838567197358</v>
      </c>
      <c r="F185" s="43"/>
      <c r="G185" s="43"/>
      <c r="H185" s="43"/>
      <c r="I185" s="43"/>
      <c r="J185" s="43"/>
      <c r="K185" s="43"/>
      <c r="L185" s="43"/>
      <c r="M185" s="43"/>
      <c r="N185" s="43"/>
      <c r="O185" s="43"/>
      <c r="P185" s="43"/>
      <c r="Q185" s="43"/>
      <c r="R185" s="43"/>
      <c r="S185" s="43"/>
    </row>
    <row r="186" spans="2:19" x14ac:dyDescent="0.2">
      <c r="B186" s="37" t="str">
        <f>'General System Parameters'!B40</f>
        <v>Gt,Gr</v>
      </c>
      <c r="C186" s="35">
        <f>'General System Parameters'!C40</f>
        <v>21.127838567197355</v>
      </c>
      <c r="F186" s="43"/>
      <c r="G186" s="43"/>
      <c r="H186" s="43"/>
      <c r="I186" s="43"/>
      <c r="J186" s="43"/>
      <c r="K186" s="43"/>
      <c r="L186" s="43"/>
      <c r="M186" s="43"/>
      <c r="N186" s="43"/>
      <c r="O186" s="43"/>
      <c r="P186" s="43"/>
      <c r="Q186" s="43"/>
      <c r="R186" s="43"/>
      <c r="S186" s="43"/>
    </row>
    <row r="187" spans="2:19" x14ac:dyDescent="0.2">
      <c r="B187" s="37" t="str">
        <f>'General System Parameters'!B41</f>
        <v>Gr - 1st Rx</v>
      </c>
      <c r="C187" s="35">
        <f>'General System Parameters'!C41</f>
        <v>15</v>
      </c>
      <c r="F187" s="43"/>
      <c r="G187" s="43"/>
      <c r="H187" s="43"/>
      <c r="I187" s="43"/>
      <c r="J187" s="43"/>
      <c r="K187" s="43"/>
      <c r="L187" s="43"/>
      <c r="M187" s="43"/>
      <c r="N187" s="43"/>
      <c r="O187" s="43"/>
      <c r="P187" s="43"/>
      <c r="Q187" s="43"/>
      <c r="R187" s="43"/>
      <c r="S187" s="43"/>
    </row>
    <row r="188" spans="2:19" x14ac:dyDescent="0.2">
      <c r="B188" s="37" t="str">
        <f>'General System Parameters'!B42</f>
        <v>Gr - Ref (Guard) Rx</v>
      </c>
      <c r="C188" s="35">
        <f>'General System Parameters'!C42</f>
        <v>5</v>
      </c>
      <c r="F188" s="43"/>
      <c r="G188" s="43"/>
      <c r="H188" s="43"/>
      <c r="I188" s="43"/>
      <c r="J188" s="43"/>
      <c r="K188" s="43"/>
      <c r="L188" s="43"/>
      <c r="M188" s="43"/>
      <c r="N188" s="43"/>
      <c r="O188" s="43"/>
      <c r="P188" s="43"/>
      <c r="Q188" s="43"/>
      <c r="R188" s="43"/>
      <c r="S188" s="43"/>
    </row>
    <row r="189" spans="2:19" x14ac:dyDescent="0.2">
      <c r="B189" s="37" t="str">
        <f>'General System Parameters'!B43</f>
        <v>λ2 (dB/m2)</v>
      </c>
      <c r="C189" s="35">
        <f>'General System Parameters'!C43</f>
        <v>-21.344946828446961</v>
      </c>
      <c r="F189" s="43"/>
      <c r="G189" s="43"/>
      <c r="H189" s="43"/>
      <c r="I189" s="43"/>
      <c r="J189" s="43"/>
      <c r="K189" s="43"/>
      <c r="L189" s="43"/>
      <c r="M189" s="43"/>
      <c r="N189" s="43"/>
      <c r="O189" s="43"/>
      <c r="P189" s="43"/>
      <c r="Q189" s="43"/>
      <c r="R189" s="43"/>
      <c r="S189" s="43"/>
    </row>
    <row r="190" spans="2:19" x14ac:dyDescent="0.2">
      <c r="B190" s="34" t="str">
        <f>'General System Parameters'!B44</f>
        <v>(4p)^3 (dB)</v>
      </c>
      <c r="C190" s="35">
        <f>'General System Parameters'!C44</f>
        <v>32.976295920662885</v>
      </c>
      <c r="F190" s="43"/>
      <c r="G190" s="43"/>
      <c r="H190" s="43"/>
      <c r="I190" s="43"/>
      <c r="J190" s="43"/>
      <c r="K190" s="43"/>
      <c r="L190" s="43"/>
      <c r="M190" s="43"/>
      <c r="N190" s="43"/>
      <c r="O190" s="43"/>
      <c r="P190" s="43"/>
      <c r="Q190" s="43"/>
      <c r="R190" s="43"/>
      <c r="S190" s="43"/>
    </row>
    <row r="191" spans="2:19" x14ac:dyDescent="0.2">
      <c r="B191" s="34" t="str">
        <f>'General System Parameters'!B45</f>
        <v>Miscellaneous Losses (dB)</v>
      </c>
      <c r="C191" s="35">
        <f>'General System Parameters'!C45</f>
        <v>0</v>
      </c>
      <c r="F191" s="43"/>
      <c r="G191" s="43"/>
      <c r="H191" s="43"/>
      <c r="I191" s="43"/>
      <c r="J191" s="43"/>
      <c r="K191" s="43"/>
      <c r="L191" s="43"/>
      <c r="M191" s="43"/>
      <c r="N191" s="43"/>
      <c r="O191" s="43"/>
      <c r="P191" s="43"/>
      <c r="Q191" s="43"/>
      <c r="R191" s="43"/>
      <c r="S191" s="43"/>
    </row>
    <row r="192" spans="2:19" x14ac:dyDescent="0.2">
      <c r="B192" s="36" t="str">
        <f>'General System Parameters'!B46</f>
        <v>FFT Window: BH</v>
      </c>
      <c r="C192" s="31" t="str">
        <f>'General System Parameters'!C46</f>
        <v>BH</v>
      </c>
      <c r="F192" s="43"/>
      <c r="G192" s="43"/>
      <c r="H192" s="43"/>
      <c r="I192" s="43"/>
      <c r="J192" s="43"/>
      <c r="K192" s="43"/>
      <c r="L192" s="43"/>
      <c r="M192" s="43"/>
      <c r="N192" s="43"/>
      <c r="O192" s="43"/>
      <c r="P192" s="43"/>
      <c r="Q192" s="43"/>
      <c r="R192" s="43"/>
      <c r="S192" s="43"/>
    </row>
    <row r="193" spans="2:19" x14ac:dyDescent="0.2">
      <c r="B193" s="34" t="str">
        <f>'General System Parameters'!B47</f>
        <v>Signal Gain Loss (dB)</v>
      </c>
      <c r="C193" s="35">
        <f>'General System Parameters'!C47</f>
        <v>8.9499999999999993</v>
      </c>
      <c r="F193" s="43"/>
      <c r="G193" s="43"/>
      <c r="H193" s="43"/>
      <c r="I193" s="43"/>
      <c r="J193" s="43"/>
      <c r="K193" s="43"/>
      <c r="L193" s="43"/>
      <c r="M193" s="43"/>
      <c r="N193" s="43"/>
      <c r="O193" s="43"/>
      <c r="P193" s="43"/>
      <c r="Q193" s="43"/>
      <c r="R193" s="43"/>
      <c r="S193" s="43"/>
    </row>
    <row r="194" spans="2:19" x14ac:dyDescent="0.2">
      <c r="B194" s="34" t="str">
        <f>'General System Parameters'!B48</f>
        <v>Noise Gain Loss (dB)</v>
      </c>
      <c r="C194" s="35">
        <f>'General System Parameters'!C48</f>
        <v>5.9</v>
      </c>
      <c r="F194" s="43"/>
      <c r="G194" s="43"/>
      <c r="H194" s="43"/>
      <c r="I194" s="43"/>
      <c r="J194" s="43"/>
      <c r="K194" s="43"/>
      <c r="L194" s="43"/>
      <c r="M194" s="43"/>
      <c r="N194" s="43"/>
      <c r="O194" s="43"/>
      <c r="P194" s="43"/>
      <c r="Q194" s="43"/>
      <c r="R194" s="43"/>
      <c r="S194" s="43"/>
    </row>
    <row r="195" spans="2:19" x14ac:dyDescent="0.2">
      <c r="B195" s="34" t="str">
        <f>'General System Parameters'!B49</f>
        <v>Normalized ENBW (dB)</v>
      </c>
      <c r="C195" s="35">
        <f>'General System Parameters'!C49</f>
        <v>3.0499999999999989</v>
      </c>
      <c r="F195" s="43"/>
      <c r="G195" s="43"/>
      <c r="H195" s="43"/>
      <c r="I195" s="43"/>
      <c r="J195" s="43"/>
      <c r="K195" s="43"/>
      <c r="L195" s="43"/>
      <c r="M195" s="43"/>
      <c r="N195" s="43"/>
      <c r="O195" s="43"/>
      <c r="P195" s="43"/>
      <c r="Q195" s="43"/>
      <c r="R195" s="43"/>
      <c r="S195" s="43"/>
    </row>
    <row r="196" spans="2:19" x14ac:dyDescent="0.2">
      <c r="B196" s="34" t="str">
        <f>'General System Parameters'!B50</f>
        <v>Window 3dB BW (bins)</v>
      </c>
      <c r="C196" s="35">
        <f>'General System Parameters'!C50</f>
        <v>1.9</v>
      </c>
      <c r="F196" s="43"/>
      <c r="G196" s="43"/>
      <c r="H196" s="43"/>
      <c r="I196" s="43"/>
      <c r="J196" s="43"/>
      <c r="K196" s="43"/>
      <c r="L196" s="43"/>
      <c r="M196" s="43"/>
      <c r="N196" s="43"/>
      <c r="O196" s="43"/>
      <c r="P196" s="43"/>
      <c r="Q196" s="43"/>
      <c r="R196" s="43"/>
      <c r="S196" s="43"/>
    </row>
    <row r="197" spans="2:19" x14ac:dyDescent="0.2">
      <c r="B197" s="34" t="str">
        <f>'General System Parameters'!B51</f>
        <v>Window 6dB BW (bins)</v>
      </c>
      <c r="C197" s="35">
        <f>'General System Parameters'!C51</f>
        <v>2.72</v>
      </c>
      <c r="F197" s="43"/>
      <c r="G197" s="43"/>
      <c r="H197" s="43"/>
      <c r="I197" s="43"/>
      <c r="J197" s="43"/>
      <c r="K197" s="43"/>
      <c r="L197" s="43"/>
      <c r="M197" s="43"/>
      <c r="N197" s="43"/>
      <c r="O197" s="43"/>
      <c r="P197" s="43"/>
      <c r="Q197" s="43"/>
      <c r="R197" s="43"/>
      <c r="S197" s="43"/>
    </row>
    <row r="198" spans="2:19" x14ac:dyDescent="0.2">
      <c r="B198" s="34" t="str">
        <f>'General System Parameters'!B52</f>
        <v>Scallop Loss (dB)</v>
      </c>
      <c r="C198" s="35">
        <f>'General System Parameters'!C52</f>
        <v>0.41278500000000001</v>
      </c>
      <c r="F198" s="43"/>
      <c r="G198" s="43"/>
      <c r="H198" s="43"/>
      <c r="I198" s="43"/>
      <c r="J198" s="43"/>
      <c r="K198" s="43"/>
      <c r="L198" s="43"/>
      <c r="M198" s="43"/>
      <c r="N198" s="43"/>
      <c r="O198" s="43"/>
      <c r="P198" s="43"/>
      <c r="Q198" s="43"/>
      <c r="R198" s="43"/>
      <c r="S198" s="43"/>
    </row>
    <row r="199" spans="2:19" x14ac:dyDescent="0.2">
      <c r="B199" s="32" t="str">
        <f>'General System Parameters'!B53</f>
        <v>Rectangular 6dB BW (bins)</v>
      </c>
      <c r="C199" s="33">
        <f>'General System Parameters'!C53</f>
        <v>1.21</v>
      </c>
      <c r="F199" s="43"/>
      <c r="G199" s="43"/>
      <c r="H199" s="43"/>
      <c r="I199" s="43"/>
      <c r="J199" s="43"/>
      <c r="K199" s="43"/>
      <c r="L199" s="43"/>
      <c r="M199" s="43"/>
      <c r="N199" s="43"/>
      <c r="O199" s="43"/>
      <c r="P199" s="43"/>
      <c r="Q199" s="43"/>
      <c r="R199" s="43"/>
      <c r="S199" s="43"/>
    </row>
    <row r="200" spans="2:19" x14ac:dyDescent="0.2">
      <c r="B200" s="34" t="str">
        <f>'General System Parameters'!B54</f>
        <v>Window Peak Spreading (bins)</v>
      </c>
      <c r="C200" s="35">
        <f>'General System Parameters'!C54</f>
        <v>9</v>
      </c>
      <c r="F200" s="43"/>
      <c r="G200" s="43"/>
      <c r="H200" s="43"/>
      <c r="I200" s="43"/>
      <c r="J200" s="43"/>
      <c r="K200" s="43"/>
      <c r="L200" s="43"/>
      <c r="M200" s="43"/>
      <c r="N200" s="43"/>
      <c r="O200" s="43"/>
      <c r="P200" s="43"/>
      <c r="Q200" s="43"/>
      <c r="R200" s="43"/>
      <c r="S200" s="43"/>
    </row>
    <row r="201" spans="2:19" x14ac:dyDescent="0.2">
      <c r="B201" s="36" t="str">
        <f>'General System Parameters'!B55</f>
        <v>#samples for noise estimation</v>
      </c>
      <c r="C201" s="31">
        <f>'General System Parameters'!C55</f>
        <v>12</v>
      </c>
      <c r="F201" s="43"/>
      <c r="G201" s="43"/>
      <c r="H201" s="43"/>
      <c r="I201" s="43"/>
      <c r="J201" s="43"/>
      <c r="K201" s="43"/>
      <c r="L201" s="43"/>
      <c r="M201" s="43"/>
      <c r="N201" s="43"/>
      <c r="O201" s="43"/>
      <c r="P201" s="43"/>
      <c r="Q201" s="43"/>
      <c r="R201" s="43"/>
      <c r="S201" s="43"/>
    </row>
    <row r="202" spans="2:19" x14ac:dyDescent="0.2">
      <c r="B202" s="34" t="str">
        <f>'General System Parameters'!B56</f>
        <v>Straddling Loss (dB) - w/o OL</v>
      </c>
      <c r="C202" s="35">
        <f>'General System Parameters'!C56</f>
        <v>3</v>
      </c>
    </row>
    <row r="203" spans="2:19" x14ac:dyDescent="0.2">
      <c r="B203" s="34" t="str">
        <f>'General System Parameters'!B57</f>
        <v>Straddling Loss (dB) - with 50% OL</v>
      </c>
      <c r="C203" s="35">
        <f>'General System Parameters'!C57</f>
        <v>1.25</v>
      </c>
    </row>
    <row r="204" spans="2:19" x14ac:dyDescent="0.2">
      <c r="B204" s="30" t="str">
        <f>'General System Parameters'!B58</f>
        <v>Freq Desynchronization factor (ppb)</v>
      </c>
      <c r="C204" s="31">
        <f>'General System Parameters'!C58</f>
        <v>5</v>
      </c>
    </row>
    <row r="205" spans="2:19" x14ac:dyDescent="0.2">
      <c r="B205" s="34" t="str">
        <f>'General System Parameters'!B59</f>
        <v>Freq Desynchronization factor (Hz)</v>
      </c>
      <c r="C205" s="35">
        <f>'General System Parameters'!C59</f>
        <v>17.5</v>
      </c>
    </row>
    <row r="206" spans="2:19" x14ac:dyDescent="0.2">
      <c r="B206" s="34" t="str">
        <f>'General System Parameters'!B60</f>
        <v>Freq Desynchronization factor (m/s)</v>
      </c>
      <c r="C206" s="35">
        <f>'General System Parameters'!C60</f>
        <v>0.74948114500000007</v>
      </c>
    </row>
    <row r="207" spans="2:19" x14ac:dyDescent="0.2">
      <c r="B207" s="30" t="str">
        <f>'General System Parameters'!B61</f>
        <v>Time Desynchronization factor (ppm)</v>
      </c>
      <c r="C207" s="31">
        <f>'General System Parameters'!C61</f>
        <v>0.2</v>
      </c>
    </row>
    <row r="208" spans="2:19" x14ac:dyDescent="0.2">
      <c r="B208" s="30" t="str">
        <f>'General System Parameters'!B62</f>
        <v>Synchronization window per seq (μs)</v>
      </c>
      <c r="C208" s="31">
        <f>'General System Parameters'!C62</f>
        <v>0.1</v>
      </c>
    </row>
    <row r="209" spans="2:3" x14ac:dyDescent="0.2">
      <c r="B209" s="117" t="str">
        <f>'General System Parameters'!B63</f>
        <v>#RG in Optimized Mode (one side)</v>
      </c>
      <c r="C209" s="118">
        <f>'General System Parameters'!C63</f>
        <v>7</v>
      </c>
    </row>
    <row r="210" spans="2:3" x14ac:dyDescent="0.2">
      <c r="B210" s="30" t="str">
        <f>'General System Parameters'!B64</f>
        <v>Total #RG in Optimized Mode</v>
      </c>
      <c r="C210" s="31">
        <f>'General System Parameters'!C64</f>
        <v>15</v>
      </c>
    </row>
  </sheetData>
  <mergeCells count="4">
    <mergeCell ref="B150:D150"/>
    <mergeCell ref="C1:D1"/>
    <mergeCell ref="E1:T1"/>
    <mergeCell ref="B145:D145"/>
  </mergeCells>
  <conditionalFormatting sqref="C61:D61">
    <cfRule type="cellIs" dxfId="48" priority="3" operator="greaterThan">
      <formula>3</formula>
    </cfRule>
  </conditionalFormatting>
  <conditionalFormatting sqref="C49">
    <cfRule type="cellIs" dxfId="47" priority="2" operator="greaterThan">
      <formula>"2&amp;&amp;$C$57&gt;$C$58"</formula>
    </cfRule>
  </conditionalFormatting>
  <conditionalFormatting sqref="C59">
    <cfRule type="expression" dxfId="46" priority="1">
      <formula>AND($C$61 &gt; $C$52, $C$51&gt;1)</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Z210"/>
  <sheetViews>
    <sheetView topLeftCell="A16" workbookViewId="0">
      <selection activeCell="E39" sqref="E39"/>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32" t="str">
        <f>'Parameters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'Parameters List'!B4</f>
        <v>Antenna Number (1 or 2)</v>
      </c>
      <c r="C4" s="49"/>
      <c r="D4" s="49"/>
      <c r="E4" s="50">
        <v>1</v>
      </c>
      <c r="F4" s="50">
        <v>1</v>
      </c>
      <c r="G4" s="50">
        <v>1</v>
      </c>
      <c r="H4" s="50">
        <v>1</v>
      </c>
      <c r="I4" s="50">
        <v>1</v>
      </c>
      <c r="J4" s="50">
        <v>1</v>
      </c>
      <c r="K4" s="50">
        <v>1</v>
      </c>
      <c r="L4" s="50">
        <v>1</v>
      </c>
      <c r="M4" s="50">
        <v>1</v>
      </c>
      <c r="N4" s="50">
        <v>1</v>
      </c>
      <c r="O4" s="50">
        <v>1</v>
      </c>
      <c r="P4" s="50">
        <v>1</v>
      </c>
      <c r="Q4" s="50">
        <v>1</v>
      </c>
      <c r="R4" s="50">
        <v>1</v>
      </c>
      <c r="S4" s="50">
        <v>1</v>
      </c>
      <c r="T4" s="50">
        <v>1</v>
      </c>
      <c r="U4" s="50">
        <v>1</v>
      </c>
      <c r="V4" s="50">
        <v>1</v>
      </c>
      <c r="W4" s="50">
        <v>1</v>
      </c>
      <c r="X4" s="50">
        <v>1</v>
      </c>
      <c r="Y4" s="50">
        <v>1</v>
      </c>
      <c r="Z4" s="50">
        <v>1</v>
      </c>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'Parameters List'!B5</f>
        <v>Steer Az (clockwise - positive)</v>
      </c>
      <c r="C5" s="49"/>
      <c r="D5" s="49"/>
      <c r="E5" s="50">
        <v>-42</v>
      </c>
      <c r="F5" s="50">
        <v>-30</v>
      </c>
      <c r="G5" s="50">
        <v>-18</v>
      </c>
      <c r="H5" s="50">
        <v>-6</v>
      </c>
      <c r="I5" s="50">
        <v>6</v>
      </c>
      <c r="J5" s="50">
        <v>18</v>
      </c>
      <c r="K5" s="50">
        <v>30</v>
      </c>
      <c r="L5" s="50">
        <v>42</v>
      </c>
      <c r="M5" s="50">
        <v>-42</v>
      </c>
      <c r="N5" s="50">
        <v>-27</v>
      </c>
      <c r="O5" s="50">
        <v>-14</v>
      </c>
      <c r="P5" s="50">
        <v>-1</v>
      </c>
      <c r="Q5" s="50">
        <v>11</v>
      </c>
      <c r="R5" s="50">
        <v>24</v>
      </c>
      <c r="S5" s="50">
        <v>39</v>
      </c>
      <c r="T5" s="50">
        <v>-38</v>
      </c>
      <c r="U5" s="50">
        <v>-24</v>
      </c>
      <c r="V5" s="50">
        <v>-11</v>
      </c>
      <c r="W5" s="50">
        <v>2</v>
      </c>
      <c r="X5" s="50">
        <v>15</v>
      </c>
      <c r="Y5" s="50">
        <v>28</v>
      </c>
      <c r="Z5" s="50">
        <v>42</v>
      </c>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'Parameters List'!B6</f>
        <v>Steer El (up - positive)</v>
      </c>
      <c r="C6" s="49"/>
      <c r="D6" s="49"/>
      <c r="E6" s="50">
        <v>6</v>
      </c>
      <c r="F6" s="50">
        <v>6</v>
      </c>
      <c r="G6" s="50">
        <v>6</v>
      </c>
      <c r="H6" s="50">
        <v>6</v>
      </c>
      <c r="I6" s="50">
        <v>6</v>
      </c>
      <c r="J6" s="50">
        <v>6</v>
      </c>
      <c r="K6" s="50">
        <v>6</v>
      </c>
      <c r="L6" s="50">
        <v>6</v>
      </c>
      <c r="M6" s="50">
        <v>17</v>
      </c>
      <c r="N6" s="50">
        <v>17</v>
      </c>
      <c r="O6" s="50">
        <v>17</v>
      </c>
      <c r="P6" s="50">
        <v>17</v>
      </c>
      <c r="Q6" s="50">
        <v>17</v>
      </c>
      <c r="R6" s="50">
        <v>17</v>
      </c>
      <c r="S6" s="50">
        <v>17</v>
      </c>
      <c r="T6" s="50">
        <v>28</v>
      </c>
      <c r="U6" s="50">
        <v>28</v>
      </c>
      <c r="V6" s="50">
        <v>28</v>
      </c>
      <c r="W6" s="50">
        <v>28</v>
      </c>
      <c r="X6" s="50">
        <v>28</v>
      </c>
      <c r="Y6" s="50">
        <v>28</v>
      </c>
      <c r="Z6" s="50">
        <v>28</v>
      </c>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'Parameters List'!B9</f>
        <v>Antenna Number (1 or 2)</v>
      </c>
      <c r="C9" s="49"/>
      <c r="D9" s="49"/>
      <c r="E9" s="50">
        <v>1</v>
      </c>
      <c r="F9" s="50">
        <v>1</v>
      </c>
      <c r="G9" s="50">
        <v>1</v>
      </c>
      <c r="H9" s="50">
        <v>1</v>
      </c>
      <c r="I9" s="50">
        <v>1</v>
      </c>
      <c r="J9" s="50">
        <v>1</v>
      </c>
      <c r="K9" s="50">
        <v>1</v>
      </c>
      <c r="L9" s="50">
        <v>1</v>
      </c>
      <c r="M9" s="50">
        <v>1</v>
      </c>
      <c r="N9" s="50">
        <v>1</v>
      </c>
      <c r="O9" s="50">
        <v>1</v>
      </c>
      <c r="P9" s="50">
        <v>1</v>
      </c>
      <c r="Q9" s="50">
        <v>1</v>
      </c>
      <c r="R9" s="50">
        <v>1</v>
      </c>
      <c r="S9" s="50">
        <v>1</v>
      </c>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'Parameters List'!B10</f>
        <v>Steer Az (clockwise - positive)</v>
      </c>
      <c r="C10" s="49"/>
      <c r="D10" s="49"/>
      <c r="E10" s="50">
        <v>-42</v>
      </c>
      <c r="F10" s="50">
        <v>-30</v>
      </c>
      <c r="G10" s="50">
        <v>-18</v>
      </c>
      <c r="H10" s="50">
        <v>-6</v>
      </c>
      <c r="I10" s="50">
        <v>6</v>
      </c>
      <c r="J10" s="50">
        <v>18</v>
      </c>
      <c r="K10" s="50">
        <v>30</v>
      </c>
      <c r="L10" s="50">
        <v>42</v>
      </c>
      <c r="M10" s="50">
        <v>-42</v>
      </c>
      <c r="N10" s="50">
        <v>-27</v>
      </c>
      <c r="O10" s="50">
        <v>-14</v>
      </c>
      <c r="P10" s="50">
        <v>-1</v>
      </c>
      <c r="Q10" s="50">
        <v>11</v>
      </c>
      <c r="R10" s="50">
        <v>24</v>
      </c>
      <c r="S10" s="50">
        <v>39</v>
      </c>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'Parameters List'!B11</f>
        <v>Steer El (up - positive)</v>
      </c>
      <c r="C11" s="49"/>
      <c r="D11" s="49"/>
      <c r="E11" s="50">
        <v>6</v>
      </c>
      <c r="F11" s="50">
        <v>6</v>
      </c>
      <c r="G11" s="50">
        <v>6</v>
      </c>
      <c r="H11" s="50">
        <v>6</v>
      </c>
      <c r="I11" s="50">
        <v>6</v>
      </c>
      <c r="J11" s="50">
        <v>6</v>
      </c>
      <c r="K11" s="50">
        <v>6</v>
      </c>
      <c r="L11" s="50">
        <v>6</v>
      </c>
      <c r="M11" s="50">
        <v>17</v>
      </c>
      <c r="N11" s="50">
        <v>17</v>
      </c>
      <c r="O11" s="50">
        <v>17</v>
      </c>
      <c r="P11" s="50">
        <v>17</v>
      </c>
      <c r="Q11" s="50">
        <v>17</v>
      </c>
      <c r="R11" s="50">
        <v>17</v>
      </c>
      <c r="S11" s="50">
        <v>17</v>
      </c>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'Parameters List'!B13</f>
        <v>Processing Channel Number (1 or 2)</v>
      </c>
      <c r="C13" s="49"/>
      <c r="D13" s="49"/>
      <c r="E13" s="33">
        <v>1</v>
      </c>
      <c r="F13" s="33">
        <v>1</v>
      </c>
      <c r="G13" s="33">
        <v>1</v>
      </c>
      <c r="H13" s="33">
        <v>1</v>
      </c>
      <c r="I13" s="33">
        <v>1</v>
      </c>
      <c r="J13" s="33">
        <v>1</v>
      </c>
      <c r="K13" s="33">
        <v>1</v>
      </c>
      <c r="L13" s="33">
        <v>1</v>
      </c>
      <c r="M13" s="33">
        <v>1</v>
      </c>
      <c r="N13" s="33">
        <v>1</v>
      </c>
      <c r="O13" s="33">
        <v>1</v>
      </c>
      <c r="P13" s="33">
        <v>1</v>
      </c>
      <c r="Q13" s="33">
        <v>2</v>
      </c>
      <c r="R13" s="33">
        <v>2</v>
      </c>
      <c r="S13" s="33">
        <v>2</v>
      </c>
      <c r="T13" s="33">
        <v>2</v>
      </c>
      <c r="U13" s="33"/>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'Parameters List'!B14</f>
        <v>Beam type (relative to processing channel)</v>
      </c>
      <c r="C14" s="49"/>
      <c r="D14" s="49"/>
      <c r="E14" s="33">
        <v>1</v>
      </c>
      <c r="F14" s="33">
        <v>2</v>
      </c>
      <c r="G14" s="33">
        <v>3</v>
      </c>
      <c r="H14" s="33">
        <v>4</v>
      </c>
      <c r="I14" s="33">
        <v>5</v>
      </c>
      <c r="J14" s="33">
        <v>6</v>
      </c>
      <c r="K14" s="33">
        <v>7</v>
      </c>
      <c r="L14" s="33">
        <v>8</v>
      </c>
      <c r="M14" s="33">
        <v>9</v>
      </c>
      <c r="N14" s="33">
        <v>10</v>
      </c>
      <c r="O14" s="33">
        <v>11</v>
      </c>
      <c r="P14" s="33">
        <v>12</v>
      </c>
      <c r="Q14" s="33">
        <v>1</v>
      </c>
      <c r="R14" s="33">
        <v>2</v>
      </c>
      <c r="S14" s="33">
        <v>3</v>
      </c>
      <c r="T14" s="33">
        <v>4</v>
      </c>
      <c r="U14" s="33"/>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'Parameters List'!B15</f>
        <v>Stagger number (1 or 2)</v>
      </c>
      <c r="C15" s="58"/>
      <c r="D15" s="58"/>
      <c r="E15" s="33">
        <v>1</v>
      </c>
      <c r="F15" s="33">
        <v>1</v>
      </c>
      <c r="G15" s="33">
        <v>1</v>
      </c>
      <c r="H15" s="33">
        <v>1</v>
      </c>
      <c r="I15" s="33">
        <v>1</v>
      </c>
      <c r="J15" s="33">
        <v>1</v>
      </c>
      <c r="K15" s="33">
        <v>1</v>
      </c>
      <c r="L15" s="33">
        <v>1</v>
      </c>
      <c r="M15" s="33">
        <v>1</v>
      </c>
      <c r="N15" s="33">
        <v>1</v>
      </c>
      <c r="O15" s="33">
        <v>1</v>
      </c>
      <c r="P15" s="33">
        <v>1</v>
      </c>
      <c r="Q15" s="33">
        <v>1</v>
      </c>
      <c r="R15" s="33">
        <v>1</v>
      </c>
      <c r="S15" s="33">
        <v>1</v>
      </c>
      <c r="T15" s="33">
        <v>1</v>
      </c>
      <c r="U15" s="33"/>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'Parameters List'!B16</f>
        <v>Receiving Patch Group (1 or 2)</v>
      </c>
      <c r="C16" s="58"/>
      <c r="D16" s="58"/>
      <c r="E16" s="33">
        <v>1</v>
      </c>
      <c r="F16" s="33">
        <v>1</v>
      </c>
      <c r="G16" s="33">
        <v>1</v>
      </c>
      <c r="H16" s="33">
        <v>1</v>
      </c>
      <c r="I16" s="33">
        <v>1</v>
      </c>
      <c r="J16" s="33">
        <v>1</v>
      </c>
      <c r="K16" s="33">
        <v>1</v>
      </c>
      <c r="L16" s="33">
        <v>1</v>
      </c>
      <c r="M16" s="33">
        <v>1</v>
      </c>
      <c r="N16" s="33">
        <v>1</v>
      </c>
      <c r="O16" s="33">
        <v>1</v>
      </c>
      <c r="P16" s="33">
        <v>1</v>
      </c>
      <c r="Q16" s="33">
        <v>1</v>
      </c>
      <c r="R16" s="33">
        <v>1</v>
      </c>
      <c r="S16" s="33">
        <v>1</v>
      </c>
      <c r="T16" s="33">
        <v>1</v>
      </c>
      <c r="U16" s="33"/>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'Parameters List'!B17</f>
        <v>Tracking (0 or 1)</v>
      </c>
      <c r="C17" s="58"/>
      <c r="D17" s="58"/>
      <c r="E17" s="33">
        <v>0</v>
      </c>
      <c r="F17" s="33">
        <v>0</v>
      </c>
      <c r="G17" s="33">
        <v>0</v>
      </c>
      <c r="H17" s="33">
        <v>0</v>
      </c>
      <c r="I17" s="33">
        <v>0</v>
      </c>
      <c r="J17" s="33">
        <v>0</v>
      </c>
      <c r="K17" s="33">
        <v>0</v>
      </c>
      <c r="L17" s="33">
        <v>0</v>
      </c>
      <c r="M17" s="33">
        <v>0</v>
      </c>
      <c r="N17" s="33">
        <v>0</v>
      </c>
      <c r="O17" s="33">
        <v>0</v>
      </c>
      <c r="P17" s="33">
        <v>0</v>
      </c>
      <c r="Q17" s="33">
        <v>0</v>
      </c>
      <c r="R17" s="33">
        <v>0</v>
      </c>
      <c r="S17" s="33">
        <v>0</v>
      </c>
      <c r="T17" s="33">
        <v>0</v>
      </c>
      <c r="U17" s="33"/>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'Parameters List'!B18</f>
        <v>Stagger PRI Sequence (Chip Units)</v>
      </c>
      <c r="C18" s="58"/>
      <c r="D18" s="58"/>
      <c r="E18" s="123">
        <f t="shared" ref="E18:AJ18" si="0">IF(E$13=1, (E$14-1)*$C$31,IF(E$13=2,((E$14-1)*$D$31),""))</f>
        <v>0</v>
      </c>
      <c r="F18" s="123">
        <f t="shared" si="0"/>
        <v>1</v>
      </c>
      <c r="G18" s="123">
        <f t="shared" si="0"/>
        <v>2</v>
      </c>
      <c r="H18" s="123">
        <f t="shared" si="0"/>
        <v>3</v>
      </c>
      <c r="I18" s="123">
        <f t="shared" si="0"/>
        <v>4</v>
      </c>
      <c r="J18" s="123">
        <f t="shared" si="0"/>
        <v>5</v>
      </c>
      <c r="K18" s="123">
        <f t="shared" si="0"/>
        <v>6</v>
      </c>
      <c r="L18" s="123">
        <f t="shared" si="0"/>
        <v>7</v>
      </c>
      <c r="M18" s="123">
        <f t="shared" si="0"/>
        <v>8</v>
      </c>
      <c r="N18" s="123">
        <f t="shared" si="0"/>
        <v>9</v>
      </c>
      <c r="O18" s="123">
        <f t="shared" si="0"/>
        <v>10</v>
      </c>
      <c r="P18" s="123">
        <f t="shared" si="0"/>
        <v>11</v>
      </c>
      <c r="Q18" s="123">
        <f t="shared" si="0"/>
        <v>0</v>
      </c>
      <c r="R18" s="123">
        <f t="shared" si="0"/>
        <v>1</v>
      </c>
      <c r="S18" s="123">
        <f t="shared" si="0"/>
        <v>2</v>
      </c>
      <c r="T18" s="123">
        <f t="shared" si="0"/>
        <v>3</v>
      </c>
      <c r="U18" s="123" t="str">
        <f t="shared" si="0"/>
        <v/>
      </c>
      <c r="V18" s="123" t="str">
        <f t="shared" si="0"/>
        <v/>
      </c>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CONCATENATE('XML File Parameters'!D2," XMLver",'XML File Parameters'!D3,".",'XML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'Parameters List'!B21</f>
        <v>Apply RG Optimization</v>
      </c>
      <c r="C21" s="64">
        <v>0</v>
      </c>
      <c r="D21" s="64">
        <v>0</v>
      </c>
      <c r="F21" s="43"/>
      <c r="G21" s="43"/>
      <c r="H21" s="43"/>
      <c r="I21" s="43"/>
      <c r="J21" s="43"/>
      <c r="K21" s="43"/>
      <c r="L21" s="43"/>
      <c r="M21" s="43"/>
      <c r="N21" s="43"/>
      <c r="O21" s="43"/>
      <c r="P21" s="43"/>
      <c r="Q21" s="43"/>
      <c r="R21" s="43"/>
      <c r="S21" s="43"/>
    </row>
    <row r="22" spans="1:78" x14ac:dyDescent="0.2">
      <c r="A22" s="91" t="s">
        <v>78</v>
      </c>
      <c r="B22" s="104" t="str">
        <f>'Parameters List'!B22</f>
        <v>Sequential Repetition</v>
      </c>
      <c r="C22" s="64">
        <v>2</v>
      </c>
      <c r="D22" s="64">
        <v>5</v>
      </c>
      <c r="E22" s="6">
        <f>C30*C22</f>
        <v>164.4864</v>
      </c>
      <c r="F22" s="6">
        <f>D30*D22</f>
        <v>411.21600000000001</v>
      </c>
      <c r="G22" s="43"/>
      <c r="H22" s="43"/>
      <c r="I22" s="43"/>
      <c r="J22" s="43"/>
      <c r="K22" s="43"/>
      <c r="L22" s="43"/>
      <c r="M22" s="43"/>
      <c r="N22" s="43"/>
      <c r="O22" s="43"/>
      <c r="P22" s="43"/>
      <c r="Q22" s="43"/>
      <c r="R22" s="43"/>
      <c r="S22" s="43"/>
    </row>
    <row r="23" spans="1:78" x14ac:dyDescent="0.2">
      <c r="A23" s="91" t="s">
        <v>78</v>
      </c>
      <c r="B23" s="104" t="str">
        <f>'Parameters List'!B23</f>
        <v>Max Dets to process</v>
      </c>
      <c r="C23" s="64">
        <v>256</v>
      </c>
      <c r="D23" s="64">
        <v>256</v>
      </c>
      <c r="E23" s="65"/>
      <c r="F23" s="43"/>
      <c r="G23" s="43"/>
      <c r="H23" s="43"/>
      <c r="I23" s="43"/>
      <c r="J23" s="43"/>
      <c r="K23" s="43"/>
      <c r="L23" s="43"/>
      <c r="M23" s="43"/>
      <c r="N23" s="43"/>
      <c r="O23" s="43"/>
      <c r="P23" s="43"/>
      <c r="Q23" s="43"/>
      <c r="R23" s="43"/>
      <c r="S23" s="43"/>
    </row>
    <row r="24" spans="1:78" x14ac:dyDescent="0.2">
      <c r="A24" s="91"/>
      <c r="B24" s="95" t="str">
        <f>'Parameters List'!B24</f>
        <v>Number of Steers</v>
      </c>
      <c r="C24" s="33">
        <f>COUNTIF(E$4:BP$4,"&gt;0")</f>
        <v>22</v>
      </c>
      <c r="D24" s="33">
        <f>COUNTIF(E$9:BP$9,"&gt;0")</f>
        <v>15</v>
      </c>
      <c r="E24" s="65"/>
      <c r="F24" s="43"/>
      <c r="G24" s="43"/>
      <c r="H24" s="43"/>
      <c r="I24" s="43"/>
      <c r="J24" s="43"/>
      <c r="K24" s="43"/>
      <c r="L24" s="43"/>
      <c r="M24" s="43"/>
      <c r="N24" s="43"/>
      <c r="O24" s="43"/>
      <c r="P24" s="43"/>
      <c r="Q24" s="43"/>
      <c r="R24" s="43"/>
      <c r="S24" s="43"/>
    </row>
    <row r="25" spans="1:78" x14ac:dyDescent="0.2">
      <c r="A25" s="91"/>
      <c r="B25" s="95" t="str">
        <f>'Parameters List'!B25</f>
        <v>Number of Beam Types</v>
      </c>
      <c r="C25" s="33">
        <f>COUNTIFS($E$13:$AJ$13,"=1",$E$15:$AJ$15,"=1")</f>
        <v>12</v>
      </c>
      <c r="D25" s="33">
        <f>COUNTIFS($E$13:$AJ$13,"=2",$E$15:$AJ$15,"=1")</f>
        <v>4</v>
      </c>
      <c r="E25" s="65"/>
      <c r="F25" s="43"/>
      <c r="G25" s="43"/>
      <c r="H25" s="43"/>
      <c r="I25" s="43"/>
      <c r="J25" s="43"/>
      <c r="K25" s="43"/>
      <c r="L25" s="43"/>
      <c r="M25" s="43"/>
      <c r="N25" s="43"/>
      <c r="O25" s="43"/>
      <c r="P25" s="43"/>
      <c r="Q25" s="43"/>
      <c r="R25" s="43"/>
      <c r="S25" s="43"/>
    </row>
    <row r="26" spans="1:78" x14ac:dyDescent="0.2">
      <c r="A26" s="91"/>
      <c r="B26" s="95" t="str">
        <f>'Parameters List'!B26</f>
        <v>Number of Beams</v>
      </c>
      <c r="C26" s="33">
        <f>COUNTIF($E$13:$AJ$13,"=1")</f>
        <v>12</v>
      </c>
      <c r="D26" s="33">
        <f>COUNTIF($E$13:$AJ$13,"=2")</f>
        <v>4</v>
      </c>
      <c r="E26" s="65"/>
      <c r="F26" s="43"/>
      <c r="G26" s="43"/>
      <c r="H26" s="43"/>
      <c r="I26" s="43"/>
      <c r="J26" s="43"/>
      <c r="K26" s="43"/>
      <c r="L26" s="43"/>
      <c r="M26" s="43"/>
      <c r="N26" s="43"/>
      <c r="O26" s="43"/>
      <c r="P26" s="43"/>
      <c r="Q26" s="43"/>
      <c r="R26" s="43"/>
      <c r="S26" s="43"/>
    </row>
    <row r="27" spans="1:78" x14ac:dyDescent="0.2">
      <c r="A27" s="91"/>
      <c r="B27" s="95" t="str">
        <f>'Parameters List'!B27</f>
        <v>Number of Beams at Antenna1</v>
      </c>
      <c r="C27" s="33">
        <f>IF(COUNTIF($E$4:$BP$4,"=1")&gt;=C$25,C$26,COUNTIF($E$4:$BP$4,"=1")*C$26/C$25)</f>
        <v>12</v>
      </c>
      <c r="D27" s="33">
        <f>IF(COUNTIF($E$9:$BP$9,"=1")&gt;=D$25,D$26,COUNTIF($E$9:$BP$9,"=1")*D$26/D$25)</f>
        <v>4</v>
      </c>
      <c r="E27" s="65"/>
      <c r="F27" s="43"/>
      <c r="G27" s="43"/>
      <c r="H27" s="43"/>
      <c r="I27" s="43"/>
      <c r="J27" s="43"/>
      <c r="K27" s="43"/>
      <c r="L27" s="43"/>
      <c r="M27" s="43"/>
      <c r="N27" s="43"/>
      <c r="O27" s="43"/>
      <c r="P27" s="43"/>
      <c r="Q27" s="43"/>
      <c r="R27" s="43"/>
      <c r="S27" s="43"/>
    </row>
    <row r="28" spans="1:78" x14ac:dyDescent="0.2">
      <c r="A28" s="91"/>
      <c r="B28" s="95" t="str">
        <f>'Parameters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'Parameters List'!B29</f>
        <v>Desired CPI (ms)</v>
      </c>
      <c r="C29" s="64">
        <v>84</v>
      </c>
      <c r="D29" s="64">
        <v>84</v>
      </c>
      <c r="G29" s="43"/>
      <c r="H29" s="43"/>
      <c r="I29" s="43"/>
      <c r="J29" s="43"/>
      <c r="K29" s="43"/>
      <c r="L29" s="43"/>
      <c r="M29" s="43"/>
      <c r="N29" s="43"/>
      <c r="O29" s="43"/>
      <c r="P29" s="43"/>
      <c r="Q29" s="43"/>
      <c r="R29" s="43"/>
      <c r="S29" s="43"/>
    </row>
    <row r="30" spans="1:78" x14ac:dyDescent="0.2">
      <c r="A30" s="91" t="s">
        <v>78</v>
      </c>
      <c r="B30" s="95" t="str">
        <f>'Parameters List'!B30</f>
        <v>Actual CPI (ms)</v>
      </c>
      <c r="C30" s="33">
        <f>(C$49*$C$104*C$51)/1000</f>
        <v>82.243200000000002</v>
      </c>
      <c r="D30" s="33">
        <f>(D$49*$C$104*D$51)/1000</f>
        <v>82.243200000000002</v>
      </c>
      <c r="F30" s="43"/>
      <c r="G30" s="43"/>
      <c r="H30" s="43"/>
      <c r="I30" s="43"/>
      <c r="J30" s="43"/>
      <c r="K30" s="43"/>
      <c r="L30" s="43"/>
      <c r="M30" s="43"/>
      <c r="N30" s="43"/>
      <c r="O30" s="43"/>
      <c r="P30" s="43"/>
      <c r="Q30" s="43"/>
      <c r="R30" s="43"/>
      <c r="S30" s="43"/>
    </row>
    <row r="31" spans="1:78" x14ac:dyDescent="0.2">
      <c r="A31" s="91" t="s">
        <v>78</v>
      </c>
      <c r="B31" s="94" t="str">
        <f>'Parameters List'!B31</f>
        <v>Multi Stagger - PRI Ext (in Chip Units)</v>
      </c>
      <c r="C31" s="64">
        <v>1</v>
      </c>
      <c r="D31" s="64">
        <v>1</v>
      </c>
      <c r="E31" s="65"/>
      <c r="F31" s="119"/>
      <c r="G31" s="43"/>
      <c r="H31" s="43"/>
      <c r="I31" s="43"/>
      <c r="J31" s="43"/>
      <c r="K31" s="43"/>
      <c r="L31" s="43"/>
      <c r="M31" s="43"/>
      <c r="N31" s="43"/>
      <c r="O31" s="43"/>
      <c r="P31" s="43"/>
      <c r="Q31" s="43"/>
      <c r="R31" s="43"/>
      <c r="S31" s="43"/>
    </row>
    <row r="32" spans="1:78" x14ac:dyDescent="0.2">
      <c r="A32" s="91" t="s">
        <v>78</v>
      </c>
      <c r="B32" s="94" t="str">
        <f>'Parameters List'!B32</f>
        <v>Stagger1 PRI (µs)</v>
      </c>
      <c r="C32" s="64">
        <v>6.5</v>
      </c>
      <c r="D32" s="64">
        <v>26</v>
      </c>
      <c r="F32" s="43"/>
      <c r="G32" s="43"/>
      <c r="H32" s="43"/>
      <c r="I32" s="43"/>
      <c r="J32" s="43"/>
      <c r="K32" s="43"/>
      <c r="L32" s="43"/>
      <c r="M32" s="43"/>
      <c r="N32" s="43"/>
      <c r="O32" s="43"/>
      <c r="P32" s="43"/>
      <c r="Q32" s="43"/>
      <c r="R32" s="43"/>
      <c r="S32" s="43"/>
    </row>
    <row r="33" spans="1:19" x14ac:dyDescent="0.2">
      <c r="A33" s="91" t="s">
        <v>78</v>
      </c>
      <c r="B33" s="94" t="str">
        <f>'Parameters List'!B33</f>
        <v>Stagger2 PRI (µs)</v>
      </c>
      <c r="C33" s="64">
        <v>0</v>
      </c>
      <c r="D33" s="64">
        <v>0</v>
      </c>
      <c r="F33" s="43"/>
      <c r="G33" s="43"/>
      <c r="H33" s="43"/>
      <c r="I33" s="43"/>
      <c r="J33" s="43"/>
      <c r="K33" s="43"/>
      <c r="L33" s="43"/>
      <c r="M33" s="43"/>
      <c r="N33" s="43"/>
      <c r="O33" s="43"/>
      <c r="P33" s="43"/>
      <c r="Q33" s="43"/>
      <c r="R33" s="43"/>
      <c r="S33" s="43"/>
    </row>
    <row r="34" spans="1:19" x14ac:dyDescent="0.2">
      <c r="A34" s="91" t="s">
        <v>81</v>
      </c>
      <c r="B34" s="95" t="str">
        <f>'Parameters List'!B34</f>
        <v>Number of Staggers (1 or 2)</v>
      </c>
      <c r="C34" s="67">
        <f>1*(C$32&lt;&gt;0)+1*(C$33&lt;&gt;0)</f>
        <v>1</v>
      </c>
      <c r="D34" s="67">
        <f>1*(D$32&lt;&gt;0)+1*(D$33&lt;&gt;0)</f>
        <v>1</v>
      </c>
      <c r="F34" s="43"/>
      <c r="G34" s="43"/>
      <c r="H34" s="43"/>
      <c r="I34" s="43"/>
      <c r="J34" s="43"/>
      <c r="K34" s="43"/>
      <c r="L34" s="43"/>
      <c r="M34" s="43"/>
      <c r="N34" s="43"/>
      <c r="O34" s="43"/>
      <c r="P34" s="43"/>
      <c r="Q34" s="43"/>
      <c r="R34" s="43"/>
      <c r="S34" s="43"/>
    </row>
    <row r="35" spans="1:19" x14ac:dyDescent="0.2">
      <c r="A35" s="91"/>
      <c r="B35" s="94" t="str">
        <f>'Parameters List'!B35</f>
        <v>Stagger Loss (dB)</v>
      </c>
      <c r="C35" s="64">
        <v>0</v>
      </c>
      <c r="D35" s="64">
        <v>0</v>
      </c>
      <c r="F35" s="43"/>
      <c r="G35" s="43"/>
      <c r="H35" s="43"/>
      <c r="I35" s="43"/>
      <c r="J35" s="43"/>
      <c r="K35" s="43"/>
      <c r="L35" s="43"/>
      <c r="M35" s="43"/>
      <c r="N35" s="43"/>
      <c r="O35" s="43"/>
      <c r="P35" s="43"/>
      <c r="Q35" s="43"/>
      <c r="R35" s="43"/>
      <c r="S35" s="43"/>
    </row>
    <row r="36" spans="1:19" x14ac:dyDescent="0.2">
      <c r="A36" s="91" t="s">
        <v>78</v>
      </c>
      <c r="B36" s="95" t="str">
        <f>'Parameters List'!B36</f>
        <v>PW (µs)</v>
      </c>
      <c r="C36" s="33">
        <f>C$46*C$48*$C$174</f>
        <v>0.4</v>
      </c>
      <c r="D36" s="33">
        <f>D$46*D$48*$C$174</f>
        <v>5.2</v>
      </c>
      <c r="F36" s="43"/>
      <c r="G36" s="43"/>
      <c r="H36" s="43"/>
      <c r="I36" s="43"/>
      <c r="J36" s="43"/>
      <c r="K36" s="43"/>
      <c r="L36" s="43"/>
      <c r="M36" s="43"/>
      <c r="N36" s="43"/>
      <c r="O36" s="43"/>
      <c r="P36" s="43"/>
      <c r="Q36" s="43"/>
      <c r="R36" s="43"/>
      <c r="S36" s="43"/>
    </row>
    <row r="37" spans="1:19" x14ac:dyDescent="0.2">
      <c r="A37" s="91" t="s">
        <v>78</v>
      </c>
      <c r="B37" s="95" t="str">
        <f>'Parameters List'!B37</f>
        <v>Actual Bandwidth (MHz)</v>
      </c>
      <c r="C37" s="33">
        <f>2*C$48/(C$36*(2*(C$48=2)+1*(C$48&lt;&gt;2)))</f>
        <v>5</v>
      </c>
      <c r="D37" s="33">
        <f>2*D$48/(D$36*(2*(D$48=2)+1*(D$48&lt;&gt;2)))</f>
        <v>5</v>
      </c>
      <c r="F37" s="43"/>
      <c r="G37" s="43"/>
      <c r="H37" s="43"/>
      <c r="I37" s="43"/>
      <c r="J37" s="43"/>
      <c r="K37" s="43"/>
      <c r="L37" s="43"/>
      <c r="M37" s="43"/>
      <c r="N37" s="43"/>
      <c r="O37" s="43"/>
      <c r="P37" s="43"/>
      <c r="Q37" s="43"/>
      <c r="R37" s="43"/>
      <c r="S37" s="43"/>
    </row>
    <row r="38" spans="1:19" x14ac:dyDescent="0.2">
      <c r="A38" s="91" t="s">
        <v>81</v>
      </c>
      <c r="B38" s="95" t="str">
        <f>'Parameters List'!B38</f>
        <v>Range Resolution (m)</v>
      </c>
      <c r="C38" s="67">
        <f>$C$163*C$36 /C$48*(2*(C$48=2)+1*(C$48&lt;&gt;2))</f>
        <v>59.958491600000002</v>
      </c>
      <c r="D38" s="67">
        <f>$C$163*D$36 /D$48*(2*(D$48=2)+1*(D$48&lt;&gt;2))</f>
        <v>59.958491600000002</v>
      </c>
      <c r="F38" s="43"/>
      <c r="G38" s="43"/>
      <c r="H38" s="43"/>
      <c r="I38" s="43"/>
      <c r="J38" s="43"/>
      <c r="K38" s="43"/>
      <c r="L38" s="43"/>
      <c r="M38" s="43"/>
      <c r="N38" s="43"/>
      <c r="O38" s="43"/>
      <c r="P38" s="43"/>
      <c r="Q38" s="43"/>
      <c r="R38" s="43"/>
      <c r="S38" s="43"/>
    </row>
    <row r="39" spans="1:19" x14ac:dyDescent="0.2">
      <c r="A39" s="91" t="s">
        <v>81</v>
      </c>
      <c r="B39" s="95" t="str">
        <f>'Parameters List'!B39</f>
        <v>Range Gate Width (m)</v>
      </c>
      <c r="C39" s="67">
        <f>C$38*(1*(C$47=0)+0.5*(C$47&lt;&gt;0))</f>
        <v>29.979245800000001</v>
      </c>
      <c r="D39" s="67">
        <f>D$38*(1*(D$47=0)+0.5*(D$47&lt;&gt;0))</f>
        <v>29.979245800000001</v>
      </c>
      <c r="F39" s="43"/>
      <c r="G39" s="43"/>
      <c r="H39" s="43"/>
      <c r="I39" s="43"/>
      <c r="J39" s="43"/>
      <c r="K39" s="43"/>
      <c r="L39" s="43"/>
      <c r="M39" s="43"/>
      <c r="N39" s="43"/>
      <c r="O39" s="43"/>
      <c r="P39" s="43"/>
      <c r="Q39" s="43"/>
      <c r="R39" s="43"/>
      <c r="S39" s="43"/>
    </row>
    <row r="40" spans="1:19" x14ac:dyDescent="0.2">
      <c r="A40" s="91" t="s">
        <v>78</v>
      </c>
      <c r="B40" s="94" t="str">
        <f>'Parameters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'Parameters List'!B41</f>
        <v>Min Range Offset (m)</v>
      </c>
      <c r="C41" s="64">
        <v>30</v>
      </c>
      <c r="D41" s="64">
        <v>30</v>
      </c>
      <c r="F41" s="43"/>
      <c r="G41" s="43"/>
      <c r="H41" s="43"/>
      <c r="I41" s="43"/>
      <c r="J41" s="43"/>
      <c r="K41" s="43"/>
      <c r="L41" s="43"/>
      <c r="M41" s="43"/>
      <c r="N41" s="43"/>
      <c r="O41" s="43"/>
      <c r="P41" s="43"/>
      <c r="Q41" s="43"/>
      <c r="R41" s="43"/>
      <c r="S41" s="43"/>
    </row>
    <row r="42" spans="1:19" x14ac:dyDescent="0.2">
      <c r="A42" s="91" t="s">
        <v>78</v>
      </c>
      <c r="B42" s="94" t="str">
        <f>'Parameters List'!B42</f>
        <v>Max Range Offset (m)</v>
      </c>
      <c r="C42" s="64">
        <v>30</v>
      </c>
      <c r="D42" s="64">
        <v>30</v>
      </c>
      <c r="F42" s="43"/>
      <c r="G42" s="43"/>
      <c r="H42" s="43"/>
      <c r="I42" s="43"/>
      <c r="J42" s="43"/>
      <c r="K42" s="43"/>
      <c r="L42" s="43"/>
      <c r="M42" s="43"/>
      <c r="N42" s="43"/>
      <c r="O42" s="43"/>
      <c r="P42" s="43"/>
      <c r="Q42" s="43"/>
      <c r="R42" s="43"/>
      <c r="S42" s="43"/>
    </row>
    <row r="43" spans="1:19" x14ac:dyDescent="0.2">
      <c r="A43" s="91" t="s">
        <v>78</v>
      </c>
      <c r="B43" s="95" t="str">
        <f>'Parameters List'!B43</f>
        <v>Min Range (m)</v>
      </c>
      <c r="C43" s="67">
        <f>$C$163*C$36 + C$41</f>
        <v>89.958491600000002</v>
      </c>
      <c r="D43" s="67">
        <f>$C$163*D$36 + D$41</f>
        <v>809.46039080000003</v>
      </c>
      <c r="F43" s="43"/>
      <c r="G43" s="43"/>
      <c r="H43" s="43"/>
      <c r="I43" s="43"/>
      <c r="J43" s="43"/>
      <c r="K43" s="43"/>
      <c r="L43" s="43"/>
      <c r="M43" s="43"/>
      <c r="N43" s="43"/>
      <c r="O43" s="43"/>
      <c r="P43" s="43"/>
      <c r="Q43" s="43"/>
      <c r="R43" s="43"/>
      <c r="S43" s="43"/>
    </row>
    <row r="44" spans="1:19" x14ac:dyDescent="0.2">
      <c r="A44" s="91" t="s">
        <v>78</v>
      </c>
      <c r="B44" s="95" t="str">
        <f>'Parameters List'!B44</f>
        <v>Max Range (m)</v>
      </c>
      <c r="C44" s="67">
        <f>$C$163*((C$45-1)*C$46*$C$174/IF(C$48=2,IF(C$47=1,1,0.5),IF(C$47=1,2,1)))+C$43</f>
        <v>839.43963659999997</v>
      </c>
      <c r="D44" s="67">
        <f>$C$163*((D$45-1)*D$46*$C$174/IF(D$48=2,IF(D$47=1,1,0.5),IF(D$47=1,2,1)))+D$43</f>
        <v>3057.9038258</v>
      </c>
      <c r="F44" s="43"/>
      <c r="G44" s="43"/>
      <c r="H44" s="43"/>
      <c r="I44" s="43"/>
      <c r="J44" s="43"/>
      <c r="K44" s="43"/>
      <c r="L44" s="43"/>
      <c r="M44" s="43"/>
      <c r="N44" s="43"/>
      <c r="O44" s="43"/>
      <c r="P44" s="43"/>
      <c r="Q44" s="43"/>
      <c r="R44" s="43"/>
      <c r="S44" s="43"/>
    </row>
    <row r="45" spans="1:19" x14ac:dyDescent="0.2">
      <c r="A45" s="91" t="s">
        <v>78</v>
      </c>
      <c r="B45" s="95" t="str">
        <f>'Parameters List'!B45</f>
        <v>NRG</v>
      </c>
      <c r="C45" s="33">
        <f>FLOOR((C$32-$C$161-2*C$36-(C$41+C$42)/$C$163)/(IF(C$48=2,IF(C$47=0,C$46*$C$174*2,C$46*$C$174),IF(C$47=0,C$46*$C$174,C$46*$C$174/2))),1)+1</f>
        <v>26</v>
      </c>
      <c r="D45" s="33">
        <f>FLOOR((D$32-$C$161-2*D$36-(D$41+D$42)/$C$163)/(IF(D$48=2,IF(D$47=0,D$46*$C$174*2,D$46*$C$174),IF(D$47=0,D$46*$C$174,D$46*$C$174/2))),1)+1</f>
        <v>76</v>
      </c>
      <c r="F45" s="43"/>
      <c r="G45" s="43"/>
      <c r="H45" s="43"/>
      <c r="I45" s="43"/>
      <c r="J45" s="43"/>
      <c r="K45" s="43"/>
      <c r="L45" s="43"/>
      <c r="M45" s="43"/>
      <c r="N45" s="43"/>
      <c r="O45" s="43"/>
      <c r="P45" s="43"/>
      <c r="Q45" s="43"/>
      <c r="R45" s="43"/>
      <c r="S45" s="43"/>
    </row>
    <row r="46" spans="1:19" x14ac:dyDescent="0.2">
      <c r="A46" s="91" t="s">
        <v>78</v>
      </c>
      <c r="B46" s="94" t="str">
        <f>'Parameters List'!B46</f>
        <v>TCHIP (even number)</v>
      </c>
      <c r="C46" s="64">
        <v>16</v>
      </c>
      <c r="D46" s="64">
        <v>32</v>
      </c>
      <c r="F46" s="43"/>
      <c r="G46" s="43"/>
      <c r="H46" s="43"/>
      <c r="I46" s="43"/>
      <c r="J46" s="43"/>
      <c r="K46" s="43"/>
      <c r="L46" s="43"/>
      <c r="M46" s="43"/>
      <c r="N46" s="43"/>
      <c r="O46" s="43"/>
      <c r="P46" s="43"/>
      <c r="Q46" s="43"/>
      <c r="R46" s="43"/>
      <c r="S46" s="43"/>
    </row>
    <row r="47" spans="1:19" x14ac:dyDescent="0.2">
      <c r="A47" s="91" t="s">
        <v>78</v>
      </c>
      <c r="B47" s="94" t="str">
        <f>'Parameters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'Parameters List'!B48</f>
        <v>NSERIES</v>
      </c>
      <c r="C48" s="64">
        <v>2</v>
      </c>
      <c r="D48" s="64">
        <v>13</v>
      </c>
      <c r="F48" s="43"/>
      <c r="G48" s="43"/>
      <c r="H48" s="43"/>
      <c r="I48" s="43"/>
      <c r="J48" s="43"/>
      <c r="K48" s="43"/>
      <c r="L48" s="43"/>
      <c r="M48" s="43"/>
      <c r="N48" s="43"/>
      <c r="O48" s="43"/>
      <c r="P48" s="43"/>
      <c r="Q48" s="43"/>
      <c r="R48" s="43"/>
      <c r="S48" s="43"/>
    </row>
    <row r="49" spans="1:19" x14ac:dyDescent="0.2">
      <c r="A49" s="91" t="s">
        <v>78</v>
      </c>
      <c r="B49" s="94" t="str">
        <f>'Parameters List'!B49</f>
        <v>POSTDEC</v>
      </c>
      <c r="C49" s="64">
        <v>1</v>
      </c>
      <c r="D49" s="64">
        <v>1</v>
      </c>
      <c r="F49" s="43"/>
      <c r="G49" s="43"/>
      <c r="H49" s="43"/>
      <c r="I49" s="43"/>
      <c r="J49" s="43"/>
      <c r="K49" s="43"/>
      <c r="L49" s="43"/>
      <c r="M49" s="43"/>
      <c r="N49" s="43"/>
      <c r="O49" s="43"/>
      <c r="P49" s="43"/>
      <c r="Q49" s="43"/>
      <c r="R49" s="43"/>
      <c r="S49" s="43"/>
    </row>
    <row r="50" spans="1:19" x14ac:dyDescent="0.2">
      <c r="A50" s="91"/>
      <c r="B50" s="80" t="str">
        <f>'Parameters List'!B50</f>
        <v>Max Abs Velocity Meas (m/s)</v>
      </c>
      <c r="C50" s="70">
        <f>1000000/($C$168*2*$C$104*C$49)</f>
        <v>108.31435002529085</v>
      </c>
      <c r="D50" s="70">
        <f>1000000/($C$168*2*$C$104*D$49)</f>
        <v>108.31435002529085</v>
      </c>
      <c r="F50" s="43"/>
      <c r="G50" s="43"/>
      <c r="H50" s="43"/>
      <c r="I50" s="43"/>
      <c r="J50" s="43"/>
      <c r="K50" s="43"/>
      <c r="L50" s="43"/>
      <c r="M50" s="43"/>
      <c r="N50" s="43"/>
      <c r="O50" s="43"/>
      <c r="P50" s="43"/>
      <c r="Q50" s="43"/>
      <c r="R50" s="43"/>
      <c r="S50" s="43"/>
    </row>
    <row r="51" spans="1:19" x14ac:dyDescent="0.2">
      <c r="A51" s="91" t="s">
        <v>78</v>
      </c>
      <c r="B51" s="95" t="str">
        <f>'Parameters List'!B51</f>
        <v>Npoints (up to FFT length)</v>
      </c>
      <c r="C51" s="33">
        <f>FLOOR((1000*C$29/$C$104/C$49),16)</f>
        <v>416</v>
      </c>
      <c r="D51" s="33">
        <f>FLOOR((1000*D$29/$C$104/D$49),16)</f>
        <v>416</v>
      </c>
      <c r="F51" s="43"/>
      <c r="G51" s="43"/>
      <c r="H51" s="43"/>
      <c r="I51" s="43"/>
      <c r="J51" s="43"/>
      <c r="K51" s="43"/>
      <c r="L51" s="43"/>
      <c r="M51" s="43"/>
      <c r="N51" s="43"/>
      <c r="O51" s="43"/>
      <c r="P51" s="43"/>
      <c r="Q51" s="43"/>
      <c r="R51" s="43"/>
      <c r="S51" s="43"/>
    </row>
    <row r="52" spans="1:19" x14ac:dyDescent="0.2">
      <c r="A52" s="91" t="s">
        <v>78</v>
      </c>
      <c r="B52" s="95" t="str">
        <f>'Parameters List'!B52</f>
        <v>FFT length (limited to 8192)</v>
      </c>
      <c r="C52" s="33">
        <f>2^CEILING(LOG10(C51)/LOG10(2),1)</f>
        <v>512</v>
      </c>
      <c r="D52" s="33">
        <f>2^CEILING(LOG10(D51)/LOG10(2),1)</f>
        <v>512</v>
      </c>
      <c r="F52" s="43"/>
      <c r="G52" s="43"/>
      <c r="H52" s="43"/>
      <c r="I52" s="43"/>
      <c r="J52" s="43"/>
      <c r="K52" s="43"/>
      <c r="L52" s="43"/>
      <c r="M52" s="43"/>
      <c r="N52" s="43"/>
      <c r="O52" s="43"/>
      <c r="P52" s="43"/>
      <c r="Q52" s="43"/>
      <c r="R52" s="43"/>
      <c r="S52" s="43"/>
    </row>
    <row r="53" spans="1:19" x14ac:dyDescent="0.2">
      <c r="A53" s="91"/>
      <c r="B53" s="95" t="str">
        <f>'Parameters List'!B53</f>
        <v>NCRG(per rcvr,limited to 512)</v>
      </c>
      <c r="C53" s="67">
        <f>C$45*C$26</f>
        <v>312</v>
      </c>
      <c r="D53" s="67">
        <f>D$45*D$26</f>
        <v>304</v>
      </c>
      <c r="F53" s="43"/>
      <c r="G53" s="43"/>
      <c r="H53" s="43"/>
      <c r="I53" s="43"/>
      <c r="J53" s="43"/>
      <c r="K53" s="43"/>
      <c r="L53" s="43"/>
      <c r="M53" s="43"/>
      <c r="N53" s="43"/>
      <c r="O53" s="43"/>
      <c r="P53" s="43"/>
      <c r="Q53" s="43"/>
      <c r="R53" s="43"/>
      <c r="S53" s="43"/>
    </row>
    <row r="54" spans="1:19" x14ac:dyDescent="0.2">
      <c r="A54" s="91"/>
      <c r="B54" s="95" t="str">
        <f>'Parameters List'!B54</f>
        <v>NCRG(all rcvrs)</v>
      </c>
      <c r="C54" s="67">
        <f>C$53*$C$155</f>
        <v>1560</v>
      </c>
      <c r="D54" s="67">
        <f>D$53*$C$155</f>
        <v>1520</v>
      </c>
      <c r="F54" s="43"/>
      <c r="G54" s="43"/>
      <c r="H54" s="43"/>
      <c r="I54" s="43"/>
      <c r="J54" s="43"/>
      <c r="K54" s="43"/>
      <c r="L54" s="43"/>
      <c r="M54" s="43"/>
      <c r="N54" s="43"/>
      <c r="O54" s="43"/>
      <c r="P54" s="43"/>
      <c r="Q54" s="43"/>
      <c r="R54" s="43"/>
      <c r="S54" s="43"/>
    </row>
    <row r="55" spans="1:19" x14ac:dyDescent="0.2">
      <c r="A55" s="91"/>
      <c r="B55" s="95" t="str">
        <f>'Parameters List'!B55</f>
        <v>TCHIP (m)</v>
      </c>
      <c r="C55" s="67">
        <f>C46*$C$163*$C$174</f>
        <v>29.979245800000001</v>
      </c>
      <c r="D55" s="67">
        <f>D46*$C$163*$C$174</f>
        <v>59.958491600000002</v>
      </c>
      <c r="F55" s="43"/>
      <c r="G55" s="43"/>
      <c r="H55" s="43"/>
      <c r="I55" s="43"/>
      <c r="J55" s="43"/>
      <c r="K55" s="43"/>
      <c r="L55" s="43"/>
      <c r="M55" s="43"/>
      <c r="N55" s="43"/>
      <c r="O55" s="43"/>
      <c r="P55" s="43"/>
      <c r="Q55" s="43"/>
      <c r="R55" s="43"/>
      <c r="S55" s="43"/>
    </row>
    <row r="56" spans="1:19" x14ac:dyDescent="0.2">
      <c r="A56" s="91"/>
      <c r="B56" s="94" t="str">
        <f>'Parameters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'Parameters List'!B57</f>
        <v>Clutter Margin (m/s)</v>
      </c>
      <c r="C57" s="67">
        <f>IF($C$206+C$56&gt;0,$C$206+C$56+C$67*C$65*1,0)</f>
        <v>2.8649957939314623</v>
      </c>
      <c r="D57" s="67">
        <f>IF($C$206+D$56&gt;0,$C$206+D$56+D$67*D$65*1,0)</f>
        <v>2.8649957939314623</v>
      </c>
      <c r="F57" s="43"/>
      <c r="G57" s="43"/>
      <c r="H57" s="43"/>
      <c r="I57" s="43"/>
      <c r="J57" s="43"/>
      <c r="K57" s="43"/>
      <c r="L57" s="43"/>
      <c r="M57" s="43"/>
      <c r="N57" s="43"/>
      <c r="O57" s="43"/>
      <c r="P57" s="43"/>
      <c r="Q57" s="43"/>
      <c r="R57" s="43"/>
      <c r="S57" s="43"/>
    </row>
    <row r="58" spans="1:19" x14ac:dyDescent="0.2">
      <c r="A58" s="91" t="s">
        <v>78</v>
      </c>
      <c r="B58" s="94" t="str">
        <f>'Parameters List'!B58</f>
        <v>Min Velocity (m/s)</v>
      </c>
      <c r="C58" s="64">
        <v>0</v>
      </c>
      <c r="D58" s="64">
        <v>0</v>
      </c>
      <c r="F58" s="43"/>
      <c r="G58" s="43"/>
      <c r="H58" s="43"/>
      <c r="I58" s="43"/>
      <c r="J58" s="43"/>
      <c r="K58" s="43"/>
      <c r="L58" s="43"/>
      <c r="M58" s="43"/>
      <c r="N58" s="43"/>
      <c r="O58" s="43"/>
      <c r="P58" s="43"/>
      <c r="Q58" s="43"/>
      <c r="R58" s="43"/>
      <c r="S58" s="43"/>
    </row>
    <row r="59" spans="1:19" x14ac:dyDescent="0.2">
      <c r="A59" s="91" t="s">
        <v>81</v>
      </c>
      <c r="B59" s="94" t="str">
        <f>'Parameters List'!B59</f>
        <v>Max Velocity (m/s)</v>
      </c>
      <c r="C59" s="64">
        <v>100</v>
      </c>
      <c r="D59" s="64">
        <v>100</v>
      </c>
      <c r="F59" s="43"/>
      <c r="G59" s="43"/>
      <c r="H59" s="43"/>
      <c r="I59" s="43"/>
      <c r="J59" s="43"/>
      <c r="K59" s="43"/>
      <c r="L59" s="43"/>
      <c r="M59" s="43"/>
      <c r="N59" s="43"/>
      <c r="O59" s="43"/>
      <c r="P59" s="43"/>
      <c r="Q59" s="43"/>
      <c r="R59" s="43"/>
      <c r="S59" s="43"/>
    </row>
    <row r="60" spans="1:19" x14ac:dyDescent="0.2">
      <c r="A60" s="91"/>
      <c r="B60" s="68" t="str">
        <f>'Parameters List'!B60</f>
        <v>Loss Velocity (m/s)</v>
      </c>
      <c r="C60" s="67">
        <f>C$38*1000/C$30</f>
        <v>729.03889440099601</v>
      </c>
      <c r="D60" s="67">
        <f>D$38*1000/D$30</f>
        <v>729.03889440099601</v>
      </c>
      <c r="F60" s="43"/>
      <c r="G60" s="43"/>
      <c r="H60" s="43"/>
      <c r="I60" s="43"/>
      <c r="J60" s="43"/>
      <c r="K60" s="43"/>
      <c r="L60" s="43"/>
      <c r="M60" s="43"/>
      <c r="N60" s="43"/>
      <c r="O60" s="43"/>
      <c r="P60" s="43"/>
      <c r="Q60" s="43"/>
      <c r="R60" s="43"/>
      <c r="S60" s="43"/>
    </row>
    <row r="61" spans="1:19" x14ac:dyDescent="0.2">
      <c r="A61" s="92"/>
      <c r="B61" s="68" t="str">
        <f>'Parameters List'!B61</f>
        <v>Velocity Loss (dB)</v>
      </c>
      <c r="C61" s="67">
        <f>IF(C$59&lt;C$60, 0, IF(C$47=1, IF(C$59&lt;2*C$60, (C$59 / C$60)*0.5*$C$203, 10), IF(C$47=0, IF(C$59&lt;2*C$60, (C$59 / C$60)*$C$202-$C$202/2, 10), 10)))+(-20*LOG10(ABS(SIN(PI()*C$59*$C$168*C$36*10^-6)/(PI()*C$59*$C$168*C$36*10^-6))))</f>
        <v>1.2463430131766101E-5</v>
      </c>
      <c r="D61" s="67">
        <f>IF(D$59&lt;D$60, 0, IF(D$47=1, IF(D$59&lt;2*D$60, (D$59 / D$60)*0.5*$C$203, 10), IF(D$47=0, IF(D$59&lt;2*D$60, (D$59 / D$60)*$C$202-$C$202/2, 10), 10)))+(-20*LOG10(ABS(SIN(PI()*D$59*$C$168*D$36*10^-6)/(PI()*D$59*$C$168*D$36*10^-6))))</f>
        <v>2.1064212532367456E-3</v>
      </c>
    </row>
    <row r="62" spans="1:19" x14ac:dyDescent="0.2">
      <c r="A62" s="92"/>
      <c r="B62" s="71" t="str">
        <f>'Parameters List'!B62</f>
        <v>Max Acceleration (m/s2)</v>
      </c>
      <c r="C62" s="64">
        <v>0</v>
      </c>
      <c r="D62" s="64">
        <v>0</v>
      </c>
    </row>
    <row r="63" spans="1:19" x14ac:dyDescent="0.2">
      <c r="A63" s="91"/>
      <c r="B63" s="68" t="str">
        <f>'Parameters List'!B63</f>
        <v>Loss Acceleration (m/s2)</v>
      </c>
      <c r="C63" s="67">
        <f>C$65*1000/C$30*$C$196</f>
        <v>9.7746143947944102</v>
      </c>
      <c r="D63" s="67">
        <f>D$65*1000/D$30*$C$196</f>
        <v>9.7746143947944102</v>
      </c>
      <c r="F63" s="43"/>
      <c r="G63" s="43"/>
      <c r="H63" s="43"/>
      <c r="I63" s="43"/>
      <c r="J63" s="43"/>
      <c r="K63" s="43"/>
      <c r="L63" s="43"/>
      <c r="M63" s="43"/>
      <c r="N63" s="43"/>
      <c r="O63" s="43"/>
      <c r="P63" s="43"/>
      <c r="Q63" s="43"/>
      <c r="R63" s="43"/>
      <c r="S63" s="43"/>
    </row>
    <row r="64" spans="1:19" x14ac:dyDescent="0.2">
      <c r="A64" s="92"/>
      <c r="B64" s="68" t="str">
        <f>'Parameters List'!B64</f>
        <v>Acceleration Loss (dB)</v>
      </c>
      <c r="C64" s="67">
        <f>IF( C$62 &gt;= C$63, C$62 / C$63 * $C$198, 0)</f>
        <v>0</v>
      </c>
      <c r="D64" s="67">
        <f>IF( D$62 &gt;= D$63, D$62 / D$63 * $C$198, 0)</f>
        <v>0</v>
      </c>
    </row>
    <row r="65" spans="1:19" x14ac:dyDescent="0.2">
      <c r="A65" s="91" t="s">
        <v>81</v>
      </c>
      <c r="B65" s="80" t="str">
        <f>'Parameters List'!B65</f>
        <v>fft2doppler (m/s per FFT bin)</v>
      </c>
      <c r="C65" s="70">
        <f>$C$106*1000/C$49/C$52/$C$168</f>
        <v>0.42310292978629244</v>
      </c>
      <c r="D65" s="70">
        <f>$C$106*1000/D$49/D$52/$C$168</f>
        <v>0.42310292978629244</v>
      </c>
      <c r="F65" s="43"/>
      <c r="G65" s="43"/>
      <c r="H65" s="43"/>
      <c r="I65" s="43"/>
      <c r="J65" s="43"/>
      <c r="K65" s="43"/>
      <c r="L65" s="43"/>
      <c r="M65" s="43"/>
      <c r="N65" s="43"/>
      <c r="O65" s="43"/>
      <c r="P65" s="43"/>
      <c r="Q65" s="43"/>
      <c r="R65" s="43"/>
      <c r="S65" s="43"/>
    </row>
    <row r="66" spans="1:19" x14ac:dyDescent="0.2">
      <c r="A66" s="91"/>
      <c r="B66" s="80" t="str">
        <f>'Parameters List'!B66</f>
        <v>Optimal Peak2Peak Seperation (m/s)</v>
      </c>
      <c r="C66" s="70">
        <f>(C$67+C$68+(C$67+1))*C$65</f>
        <v>11.000676174443603</v>
      </c>
      <c r="D66" s="70">
        <f>(D$67+D$68+(D$67+1))*D$65</f>
        <v>11.000676174443603</v>
      </c>
      <c r="F66" s="43"/>
      <c r="G66" s="43"/>
      <c r="H66" s="43"/>
      <c r="I66" s="43"/>
      <c r="J66" s="43"/>
      <c r="K66" s="43"/>
      <c r="L66" s="43"/>
      <c r="M66" s="43"/>
      <c r="N66" s="43"/>
      <c r="O66" s="43"/>
      <c r="P66" s="43"/>
      <c r="Q66" s="43"/>
      <c r="R66" s="43"/>
      <c r="S66" s="43"/>
    </row>
    <row r="67" spans="1:19" x14ac:dyDescent="0.2">
      <c r="A67" s="91"/>
      <c r="B67" s="95" t="str">
        <f>'Parameters List'!B67</f>
        <v># FFT bins of peak spreading (one side)</v>
      </c>
      <c r="C67" s="67">
        <f>ROUND((($C$200-1) / 2) * (C$52 / C$51) + (C$62*C$30/1000)/C$65,0)</f>
        <v>5</v>
      </c>
      <c r="D67" s="67">
        <f>ROUND((($C$200-1) / 2) * (D$52 / D$51) + (D$62*D$30/1000)/D$65,0)</f>
        <v>5</v>
      </c>
      <c r="F67" s="43"/>
      <c r="G67" s="43"/>
      <c r="H67" s="43"/>
      <c r="I67" s="43"/>
      <c r="J67" s="43"/>
      <c r="K67" s="43"/>
      <c r="L67" s="43"/>
      <c r="M67" s="43"/>
      <c r="N67" s="43"/>
      <c r="O67" s="43"/>
      <c r="P67" s="43"/>
      <c r="Q67" s="43"/>
      <c r="R67" s="43"/>
      <c r="S67" s="43"/>
    </row>
    <row r="68" spans="1:19" x14ac:dyDescent="0.2">
      <c r="A68" s="91"/>
      <c r="B68" s="95" t="str">
        <f>'Parameters List'!B68</f>
        <v># FFT bins for noise estimation (one side)</v>
      </c>
      <c r="C68" s="67">
        <f>ROUND((($C$201-1)/2*$C$197/$C$199)*(C$52/C$51),0)</f>
        <v>15</v>
      </c>
      <c r="D68" s="67">
        <f>ROUND((($C$201-1)/2*$C$197/$C$199)*(D$52/D$51),0)</f>
        <v>15</v>
      </c>
      <c r="F68" s="43"/>
      <c r="G68" s="43"/>
      <c r="H68" s="43"/>
      <c r="I68" s="43"/>
      <c r="J68" s="43"/>
      <c r="K68" s="43"/>
      <c r="L68" s="43"/>
      <c r="M68" s="43"/>
      <c r="N68" s="43"/>
      <c r="O68" s="43"/>
      <c r="P68" s="43"/>
      <c r="Q68" s="43"/>
      <c r="R68" s="43"/>
      <c r="S68" s="43"/>
    </row>
    <row r="69" spans="1:19" x14ac:dyDescent="0.2">
      <c r="A69" s="91"/>
      <c r="B69" s="95" t="str">
        <f>'Parameters List'!B69</f>
        <v># FFT bins of clutter margin (one side)</v>
      </c>
      <c r="C69" s="67">
        <f>C$57/C$65</f>
        <v>6.7713919999999996</v>
      </c>
      <c r="D69" s="67">
        <f>D$57/D$65</f>
        <v>6.7713919999999996</v>
      </c>
      <c r="F69" s="43"/>
      <c r="G69" s="43"/>
      <c r="H69" s="43"/>
      <c r="I69" s="43"/>
      <c r="J69" s="43"/>
      <c r="K69" s="43"/>
      <c r="L69" s="43"/>
      <c r="M69" s="43"/>
      <c r="N69" s="43"/>
      <c r="O69" s="43"/>
      <c r="P69" s="43"/>
      <c r="Q69" s="43"/>
      <c r="R69" s="43"/>
      <c r="S69" s="43"/>
    </row>
    <row r="70" spans="1:19" x14ac:dyDescent="0.2">
      <c r="A70" s="91"/>
      <c r="B70" s="95" t="str">
        <f>'Parameters List'!B70</f>
        <v># FFT bins to min velocity</v>
      </c>
      <c r="C70" s="67">
        <f>FLOOR(C$58/C$65,1)</f>
        <v>0</v>
      </c>
      <c r="D70" s="67">
        <f>FLOOR(D$58/D$65,1)</f>
        <v>0</v>
      </c>
      <c r="F70" s="43"/>
      <c r="G70" s="43"/>
      <c r="H70" s="43"/>
      <c r="I70" s="43"/>
      <c r="J70" s="43"/>
      <c r="K70" s="43"/>
      <c r="L70" s="43"/>
      <c r="M70" s="43"/>
      <c r="N70" s="43"/>
      <c r="O70" s="43"/>
      <c r="P70" s="43"/>
      <c r="Q70" s="43"/>
      <c r="R70" s="43"/>
      <c r="S70" s="43"/>
    </row>
    <row r="71" spans="1:19" x14ac:dyDescent="0.2">
      <c r="A71" s="91"/>
      <c r="B71" s="95" t="str">
        <f>'Parameters List'!B71</f>
        <v># FFT bins to max velocity</v>
      </c>
      <c r="C71" s="67">
        <f>CEILING(C$59/C$65,1)</f>
        <v>237</v>
      </c>
      <c r="D71" s="67">
        <f>CEILING(D$59/D$65,1)</f>
        <v>237</v>
      </c>
      <c r="F71" s="43"/>
      <c r="G71" s="43"/>
      <c r="H71" s="43"/>
      <c r="I71" s="43"/>
      <c r="J71" s="43"/>
      <c r="K71" s="43"/>
      <c r="L71" s="43"/>
      <c r="M71" s="43"/>
      <c r="N71" s="43"/>
      <c r="O71" s="43"/>
      <c r="P71" s="43"/>
      <c r="Q71" s="43"/>
      <c r="R71" s="43"/>
      <c r="S71" s="43"/>
    </row>
    <row r="72" spans="1:19" x14ac:dyDescent="0.2">
      <c r="A72" s="91" t="s">
        <v>81</v>
      </c>
      <c r="B72" s="95" t="str">
        <f>'Parameters List'!B72</f>
        <v>Noise Mask (example: '-13,-4,4,13)</v>
      </c>
      <c r="C72" s="67" t="str">
        <f>CONCATENATE(TEXT(-C$68-C$67,"0"),",",TEXT(-C$67-1,"0"),",",TEXT(C$67+1,"0"),",",TEXT(C$68+C$67,"0"))</f>
        <v>-20,-6,6,20</v>
      </c>
      <c r="D72" s="67" t="str">
        <f>CONCATENATE(TEXT(-D$68-D$67,"0"),",",TEXT(-D$67-1,"0"),",",TEXT(D$67+1,"0"),",",TEXT(D$68+D$67,"0"))</f>
        <v>-20,-6,6,20</v>
      </c>
      <c r="F72" s="43"/>
      <c r="G72" s="43"/>
      <c r="H72" s="43"/>
      <c r="I72" s="43"/>
      <c r="J72" s="43"/>
      <c r="K72" s="43"/>
      <c r="L72" s="43"/>
      <c r="M72" s="43"/>
      <c r="N72" s="43"/>
      <c r="O72" s="43"/>
      <c r="P72" s="43"/>
      <c r="Q72" s="43"/>
      <c r="R72" s="43"/>
      <c r="S72" s="43"/>
    </row>
    <row r="73" spans="1:19" x14ac:dyDescent="0.2">
      <c r="A73" s="91" t="s">
        <v>81</v>
      </c>
      <c r="B73" s="94" t="str">
        <f>'Parameters List'!B73</f>
        <v>Options (see Options List sheet)</v>
      </c>
      <c r="C73" s="101"/>
      <c r="D73" s="101"/>
      <c r="F73" s="43"/>
      <c r="G73" s="43"/>
      <c r="H73" s="43"/>
      <c r="I73" s="43"/>
      <c r="J73" s="43"/>
      <c r="K73" s="43"/>
      <c r="L73" s="43"/>
      <c r="M73" s="43"/>
      <c r="N73" s="43"/>
      <c r="O73" s="43"/>
      <c r="P73" s="43"/>
      <c r="Q73" s="43"/>
      <c r="R73" s="43"/>
      <c r="S73" s="43"/>
    </row>
    <row r="74" spans="1:19" x14ac:dyDescent="0.2">
      <c r="A74" s="91" t="s">
        <v>81</v>
      </c>
      <c r="B74" s="94" t="str">
        <f>'Parameters List'!B74</f>
        <v>SNR Threshold (dB)</v>
      </c>
      <c r="C74" s="73">
        <v>12</v>
      </c>
      <c r="D74" s="73">
        <v>12</v>
      </c>
      <c r="F74" s="43"/>
      <c r="G74" s="43"/>
      <c r="H74" s="43"/>
      <c r="I74" s="43"/>
      <c r="J74" s="43"/>
      <c r="K74" s="43"/>
      <c r="L74" s="43"/>
      <c r="M74" s="43"/>
      <c r="N74" s="43"/>
      <c r="O74" s="43"/>
      <c r="P74" s="43"/>
      <c r="Q74" s="43"/>
      <c r="R74" s="43"/>
      <c r="S74" s="43"/>
    </row>
    <row r="75" spans="1:19" x14ac:dyDescent="0.2">
      <c r="A75" s="91"/>
      <c r="B75" s="80" t="str">
        <f>'Parameters List'!B75</f>
        <v>Probability of False Alarm</v>
      </c>
      <c r="C75" s="70">
        <f>pf_PD_PFA_CFAR("pfa", C$74, C$120, C$121, C$68*2, 1)</f>
        <v>2.9768774174777536E-6</v>
      </c>
      <c r="D75" s="70">
        <f>pf_PD_PFA_CFAR("pfa", D$74, D$120, D$121, D$68*2, 1)</f>
        <v>2.9768774174777536E-6</v>
      </c>
      <c r="F75" s="43"/>
      <c r="G75" s="43"/>
      <c r="H75" s="43"/>
      <c r="I75" s="43"/>
      <c r="J75" s="43"/>
      <c r="K75" s="43"/>
      <c r="L75" s="43"/>
      <c r="M75" s="43"/>
      <c r="N75" s="43"/>
      <c r="O75" s="43"/>
      <c r="P75" s="43"/>
      <c r="Q75" s="43"/>
      <c r="R75" s="43"/>
      <c r="S75" s="43"/>
    </row>
    <row r="76" spans="1:19" x14ac:dyDescent="0.2">
      <c r="A76" s="91"/>
      <c r="B76" s="80" t="str">
        <f>'Parameters List'!B76</f>
        <v>Probability of False Alarm per CPI</v>
      </c>
      <c r="C76" s="70">
        <f>C$75*C$52*C$53</f>
        <v>0.47553830617756626</v>
      </c>
      <c r="D76" s="70">
        <f>D$75*D$52*D$53</f>
        <v>0.46334501627557739</v>
      </c>
      <c r="F76" s="43"/>
      <c r="G76" s="43"/>
      <c r="H76" s="43"/>
      <c r="I76" s="43"/>
      <c r="J76" s="43"/>
      <c r="K76" s="43"/>
      <c r="L76" s="43"/>
      <c r="M76" s="43"/>
      <c r="N76" s="43"/>
      <c r="O76" s="43"/>
      <c r="P76" s="43"/>
      <c r="Q76" s="43"/>
      <c r="R76" s="43"/>
      <c r="S76" s="43"/>
    </row>
    <row r="77" spans="1:19" x14ac:dyDescent="0.2">
      <c r="A77" s="91"/>
      <c r="B77" s="80" t="str">
        <f>'Parameters List'!B77</f>
        <v>Probability of False Alarm per SEC</v>
      </c>
      <c r="C77" s="70">
        <f>C$76/(C$30/1000)</f>
        <v>5.7820987774985193</v>
      </c>
      <c r="D77" s="70">
        <f>D$76/(D$30/1000)</f>
        <v>5.6338398344857374</v>
      </c>
      <c r="F77" s="43"/>
      <c r="G77" s="43"/>
      <c r="H77" s="43"/>
      <c r="I77" s="43"/>
      <c r="J77" s="43"/>
      <c r="K77" s="43"/>
      <c r="L77" s="43"/>
      <c r="M77" s="43"/>
      <c r="N77" s="43"/>
      <c r="O77" s="43"/>
      <c r="P77" s="43"/>
      <c r="Q77" s="43"/>
      <c r="R77" s="43"/>
      <c r="S77" s="43"/>
    </row>
    <row r="78" spans="1:19" x14ac:dyDescent="0.2">
      <c r="A78" s="91"/>
      <c r="B78" s="94" t="str">
        <f>'Parameters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'Parameters List'!B79</f>
        <v>STC Init Range (m)</v>
      </c>
      <c r="C79" s="70">
        <f>10^((40*LOG10(C$44)-(C$78-C$99)) / 40)</f>
        <v>233.20991012574103</v>
      </c>
      <c r="D79" s="70">
        <f>10^((40*LOG10(D$44)-(D$78-D$99)) / 40)</f>
        <v>442.77234820428976</v>
      </c>
      <c r="F79" s="43"/>
      <c r="G79" s="43"/>
      <c r="H79" s="43"/>
      <c r="I79" s="43"/>
      <c r="J79" s="43"/>
      <c r="K79" s="43"/>
      <c r="L79" s="43"/>
      <c r="M79" s="43"/>
      <c r="N79" s="43"/>
      <c r="O79" s="43"/>
      <c r="P79" s="43"/>
      <c r="Q79" s="43"/>
      <c r="R79" s="43"/>
      <c r="S79" s="43"/>
    </row>
    <row r="80" spans="1:19" x14ac:dyDescent="0.2">
      <c r="A80" s="91"/>
      <c r="B80" s="94" t="str">
        <f>'Parameters List'!B80</f>
        <v>Tapered Array (0/1)</v>
      </c>
      <c r="C80" s="101">
        <v>1</v>
      </c>
      <c r="D80" s="101">
        <v>1</v>
      </c>
      <c r="F80" s="43"/>
      <c r="G80" s="43"/>
      <c r="H80" s="43"/>
      <c r="I80" s="43"/>
      <c r="J80" s="43"/>
      <c r="K80" s="43"/>
      <c r="L80" s="43"/>
      <c r="M80" s="43"/>
      <c r="N80" s="43"/>
      <c r="O80" s="43"/>
      <c r="P80" s="43"/>
      <c r="Q80" s="43"/>
      <c r="R80" s="43"/>
      <c r="S80" s="43"/>
    </row>
    <row r="81" spans="1:19" x14ac:dyDescent="0.2">
      <c r="A81" s="91"/>
      <c r="B81" s="94" t="str">
        <f>'Parameters List'!B81</f>
        <v>AGC Set (1-6)</v>
      </c>
      <c r="C81" s="101">
        <v>3</v>
      </c>
      <c r="D81" s="101">
        <v>3</v>
      </c>
      <c r="F81" s="43"/>
      <c r="G81" s="43"/>
      <c r="H81" s="43"/>
      <c r="I81" s="43"/>
      <c r="J81" s="43"/>
      <c r="K81" s="43"/>
      <c r="L81" s="43"/>
      <c r="M81" s="43"/>
      <c r="N81" s="43"/>
      <c r="O81" s="43"/>
      <c r="P81" s="43"/>
      <c r="Q81" s="43"/>
      <c r="R81" s="43"/>
      <c r="S81" s="43"/>
    </row>
    <row r="82" spans="1:19" x14ac:dyDescent="0.2">
      <c r="A82" s="91"/>
      <c r="B82" s="95" t="str">
        <f>'Parameters List'!B82</f>
        <v>RF AGC (dB) - 1st Rx</v>
      </c>
      <c r="C82" s="67">
        <f>VLOOKUP(C$81,'AGC Set Table'!$A$3:$K$9,2,FALSE)</f>
        <v>0</v>
      </c>
      <c r="D82" s="67">
        <f>VLOOKUP(D$81,'AGC Set Table'!$A$3:$K$9,2,FALSE)</f>
        <v>0</v>
      </c>
      <c r="F82" s="43"/>
      <c r="G82" s="43"/>
      <c r="H82" s="43"/>
      <c r="I82" s="43"/>
      <c r="J82" s="43"/>
      <c r="K82" s="43"/>
      <c r="L82" s="43"/>
      <c r="M82" s="43"/>
      <c r="N82" s="43"/>
      <c r="O82" s="43"/>
      <c r="P82" s="43"/>
      <c r="Q82" s="43"/>
      <c r="R82" s="43"/>
      <c r="S82" s="43"/>
    </row>
    <row r="83" spans="1:19" x14ac:dyDescent="0.2">
      <c r="A83" s="91"/>
      <c r="B83" s="95" t="str">
        <f>'Parameters List'!B83</f>
        <v>IF AGC (dB) - 1st Rx</v>
      </c>
      <c r="C83" s="67">
        <f>VLOOKUP(C$81,'AGC Set Table'!$A$3:$K$9,3,FALSE)</f>
        <v>25</v>
      </c>
      <c r="D83" s="67">
        <f>VLOOKUP(D$81,'AGC Set Table'!$A$3:$K$9,3,FALSE)</f>
        <v>25</v>
      </c>
      <c r="F83" s="43"/>
      <c r="G83" s="43"/>
      <c r="H83" s="43"/>
      <c r="I83" s="43"/>
      <c r="J83" s="43"/>
      <c r="K83" s="43"/>
      <c r="L83" s="43"/>
      <c r="M83" s="43"/>
      <c r="N83" s="43"/>
      <c r="O83" s="43"/>
      <c r="P83" s="43"/>
      <c r="Q83" s="43"/>
      <c r="R83" s="43"/>
      <c r="S83" s="43"/>
    </row>
    <row r="84" spans="1:19" x14ac:dyDescent="0.2">
      <c r="A84" s="91"/>
      <c r="B84" s="95" t="str">
        <f>'Parameters List'!B84</f>
        <v>RF AGC (dB) - Ref Rx</v>
      </c>
      <c r="C84" s="67">
        <f>VLOOKUP(C$81,'AGC Set Table'!$A$3:$K$9,8,FALSE)</f>
        <v>0</v>
      </c>
      <c r="D84" s="67">
        <f>VLOOKUP(D$81,'AGC Set Table'!$A$3:$K$9,8,FALSE)</f>
        <v>0</v>
      </c>
      <c r="F84" s="43"/>
      <c r="G84" s="43"/>
      <c r="H84" s="43"/>
      <c r="I84" s="43"/>
      <c r="J84" s="43"/>
      <c r="K84" s="43"/>
      <c r="L84" s="43"/>
      <c r="M84" s="43"/>
      <c r="N84" s="43"/>
      <c r="O84" s="43"/>
      <c r="P84" s="43"/>
      <c r="Q84" s="43"/>
      <c r="R84" s="43"/>
      <c r="S84" s="43"/>
    </row>
    <row r="85" spans="1:19" x14ac:dyDescent="0.2">
      <c r="A85" s="91"/>
      <c r="B85" s="95" t="str">
        <f>'Parameters List'!B85</f>
        <v>IF AGC (dB) - Ref Rx</v>
      </c>
      <c r="C85" s="67">
        <f>VLOOKUP(C$81,'AGC Set Table'!$A$3:$K$9,9,FALSE)</f>
        <v>5</v>
      </c>
      <c r="D85" s="67">
        <f>VLOOKUP(D$81,'AGC Set Table'!$A$3:$K$9,9,FALSE)</f>
        <v>5</v>
      </c>
      <c r="F85" s="43"/>
      <c r="G85" s="43"/>
      <c r="H85" s="43"/>
      <c r="I85" s="43"/>
      <c r="J85" s="43"/>
      <c r="K85" s="43"/>
      <c r="L85" s="43"/>
      <c r="M85" s="43"/>
      <c r="N85" s="43"/>
      <c r="O85" s="43"/>
      <c r="P85" s="43"/>
      <c r="Q85" s="43"/>
      <c r="R85" s="43"/>
      <c r="S85" s="43"/>
    </row>
    <row r="86" spans="1:19" x14ac:dyDescent="0.2">
      <c r="A86" s="91"/>
      <c r="B86" s="95" t="str">
        <f>'Parameters List'!B86</f>
        <v>NF @ADCout (dB) - 1st Rx</v>
      </c>
      <c r="C86" s="67">
        <f>VLOOKUP(C$81,'AGC Set Table'!$A$3:$K$9,IF(C$80=0,6,IF(C$80=1,7)),FALSE)</f>
        <v>5.47</v>
      </c>
      <c r="D86" s="67">
        <f>VLOOKUP(D$81,'AGC Set Table'!$A$3:$K$9,IF(D$80=0,6,IF(D$80=1,7)),FALSE)</f>
        <v>5.47</v>
      </c>
      <c r="F86" s="43"/>
      <c r="G86" s="43"/>
      <c r="H86" s="43"/>
      <c r="I86" s="43"/>
      <c r="J86" s="43"/>
      <c r="K86" s="43"/>
      <c r="L86" s="43"/>
      <c r="M86" s="43"/>
      <c r="N86" s="43"/>
      <c r="O86" s="43"/>
      <c r="P86" s="43"/>
      <c r="Q86" s="43"/>
      <c r="R86" s="43"/>
      <c r="S86" s="43"/>
    </row>
    <row r="87" spans="1:19" x14ac:dyDescent="0.2">
      <c r="A87" s="91"/>
      <c r="B87" s="95" t="str">
        <f>'Parameters List'!B87</f>
        <v>NF @ADCout (dB) - Ref Rx</v>
      </c>
      <c r="C87" s="67">
        <f>VLOOKUP(C$81,'AGC Set Table'!$A$3:$K$9,11,FALSE)</f>
        <v>2.5299999999999998</v>
      </c>
      <c r="D87" s="67">
        <f>VLOOKUP(D$81,'AGC Set Table'!$A$3:$K$9,11,FALSE)</f>
        <v>2.5299999999999998</v>
      </c>
      <c r="F87" s="43"/>
      <c r="G87" s="43"/>
      <c r="H87" s="43"/>
      <c r="I87" s="43"/>
      <c r="J87" s="43"/>
      <c r="K87" s="43"/>
      <c r="L87" s="43"/>
      <c r="M87" s="43"/>
      <c r="N87" s="43"/>
      <c r="O87" s="43"/>
      <c r="P87" s="43"/>
      <c r="Q87" s="43"/>
      <c r="R87" s="43"/>
      <c r="S87" s="43"/>
    </row>
    <row r="88" spans="1:19" x14ac:dyDescent="0.2">
      <c r="A88" s="91" t="s">
        <v>81</v>
      </c>
      <c r="B88" s="94" t="str">
        <f>'Parameters List'!B88</f>
        <v>RCS (m^2)</v>
      </c>
      <c r="C88" s="74">
        <v>1E-3</v>
      </c>
      <c r="D88" s="74">
        <v>1E-3</v>
      </c>
      <c r="F88" s="43"/>
      <c r="G88" s="43"/>
      <c r="H88" s="43"/>
      <c r="I88" s="43"/>
      <c r="J88" s="43"/>
      <c r="K88" s="43"/>
      <c r="L88" s="43"/>
      <c r="M88" s="43"/>
      <c r="N88" s="43"/>
      <c r="O88" s="43"/>
      <c r="P88" s="43"/>
      <c r="Q88" s="43"/>
      <c r="R88" s="43"/>
      <c r="S88" s="43"/>
    </row>
    <row r="89" spans="1:19" x14ac:dyDescent="0.2">
      <c r="A89" s="91"/>
      <c r="B89" s="95" t="str">
        <f>'Parameters List'!B89</f>
        <v>σ(dB/m2)</v>
      </c>
      <c r="C89" s="67">
        <f>10*LOG10(C$88)</f>
        <v>-30</v>
      </c>
      <c r="D89" s="67">
        <f>10*LOG10(D$88)</f>
        <v>-30</v>
      </c>
      <c r="F89" s="43"/>
      <c r="G89" s="43"/>
      <c r="H89" s="43"/>
      <c r="I89" s="43"/>
      <c r="J89" s="43"/>
      <c r="K89" s="43"/>
      <c r="L89" s="43"/>
      <c r="M89" s="43"/>
      <c r="N89" s="43"/>
      <c r="O89" s="43"/>
      <c r="P89" s="43"/>
      <c r="Q89" s="43"/>
      <c r="R89" s="43"/>
      <c r="S89" s="43"/>
    </row>
    <row r="90" spans="1:19" x14ac:dyDescent="0.2">
      <c r="A90" s="91"/>
      <c r="B90" s="80" t="str">
        <f>'Parameters List'!B90</f>
        <v>Tgt min range @ADCin (dBm) - Ref. Rx</v>
      </c>
      <c r="C90" s="70">
        <f>$C$185+$C$186+$C$188+C$89+$C$189-$C$190-40*LOG10(C$43)+$C$171-C$84-C$85-$C$179*(C$80=1)</f>
        <v>-31.227252202338207</v>
      </c>
      <c r="D90" s="70">
        <f>$C$185+$C$186+$C$188+D$89+$C$189-$C$190-40*LOG10(D$43)+$C$171-D$84-D$85-$C$179*(D$80=1)</f>
        <v>-69.393389708501644</v>
      </c>
      <c r="F90" s="43"/>
      <c r="G90" s="43"/>
      <c r="H90" s="43"/>
      <c r="I90" s="43"/>
      <c r="J90" s="43"/>
      <c r="K90" s="43"/>
      <c r="L90" s="43"/>
      <c r="M90" s="43"/>
      <c r="N90" s="43"/>
      <c r="O90" s="43"/>
      <c r="P90" s="43"/>
      <c r="Q90" s="43"/>
      <c r="R90" s="43"/>
      <c r="S90" s="43"/>
    </row>
    <row r="91" spans="1:19" x14ac:dyDescent="0.2">
      <c r="A91" s="91"/>
      <c r="B91" s="80" t="str">
        <f>'Parameters List'!B91</f>
        <v>Tgt max range @ADCin (dBm) - Ref. Rx</v>
      </c>
      <c r="C91" s="70">
        <f>$C$185+$C$186+$C$188+C$89+$C$189-$C$190-40*LOG10(C$44)+$C$171-C$84-C$85-$C$179*(C$80=1)</f>
        <v>-70.025144488516503</v>
      </c>
      <c r="D91" s="70">
        <f>$C$185+$C$186+$C$188+D$89+$C$189-$C$190-40*LOG10(D$44)+$C$171-D$84-D$85-$C$179*(D$80=1)</f>
        <v>-92.482518506149432</v>
      </c>
      <c r="F91" s="43"/>
      <c r="G91" s="43"/>
      <c r="H91" s="43"/>
      <c r="I91" s="43"/>
      <c r="J91" s="43"/>
      <c r="K91" s="43"/>
      <c r="L91" s="43"/>
      <c r="M91" s="43"/>
      <c r="N91" s="43"/>
      <c r="O91" s="43"/>
      <c r="P91" s="43"/>
      <c r="Q91" s="43"/>
      <c r="R91" s="43"/>
      <c r="S91" s="43"/>
    </row>
    <row r="92" spans="1:19" x14ac:dyDescent="0.2">
      <c r="A92" s="91"/>
      <c r="B92" s="95" t="str">
        <f>'Parameters List'!B92</f>
        <v>1st Rx Noise @ADCout (dBm/bin)</v>
      </c>
      <c r="C92" s="67">
        <f>C$86+$C$173+$C$171-C$84-C$85+10*LOG10($C$175*10^6)-$C$178*(C$80=1)+10*LOG10($C$156/$C$157)</f>
        <v>-36.643100086720374</v>
      </c>
      <c r="D92" s="67">
        <f>D$86+$C$173+$C$171-D$84-D$85+10*LOG10($C$175*10^6)-$C$178*(D$80=1)+10*LOG10($C$156/$C$157)</f>
        <v>-36.643100086720374</v>
      </c>
      <c r="F92" s="43"/>
      <c r="G92" s="43"/>
      <c r="H92" s="43"/>
      <c r="I92" s="43"/>
      <c r="J92" s="43"/>
      <c r="K92" s="43"/>
      <c r="L92" s="43"/>
      <c r="M92" s="43"/>
      <c r="N92" s="43"/>
      <c r="O92" s="43"/>
      <c r="P92" s="43"/>
      <c r="Q92" s="43"/>
      <c r="R92" s="43"/>
      <c r="S92" s="43"/>
    </row>
    <row r="93" spans="1:19" x14ac:dyDescent="0.2">
      <c r="A93" s="91"/>
      <c r="B93" s="95" t="str">
        <f>'Parameters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'Parameters List'!B94</f>
        <v>Total Noise @ADCout (dBm/bin)</v>
      </c>
      <c r="C94" s="67">
        <f>10*LOG10(10^((C$93 + 10*LOG10($C$157))/10) + 10^((C$92 + 10*LOG10(($C$182-$C$157) / $C$156))/10))+ (10*LOG10(C$34) - C$35) * (C$34&gt;1)</f>
        <v>-30.510432874210274</v>
      </c>
      <c r="D94" s="67">
        <f>10*LOG10(10^((D$93 + 10*LOG10($C$157))/10) + 10^((D$92 + 10*LOG10(($C$182-$C$157) / $C$156))/10))+ (10*LOG10(D$34) - D$35) * (D$34&gt;1)</f>
        <v>-30.510432874210274</v>
      </c>
      <c r="F94" s="43"/>
      <c r="G94" s="43"/>
      <c r="H94" s="43"/>
      <c r="I94" s="43"/>
      <c r="J94" s="43"/>
      <c r="K94" s="43"/>
      <c r="L94" s="43"/>
      <c r="M94" s="43"/>
      <c r="N94" s="43"/>
      <c r="O94" s="43"/>
      <c r="P94" s="43"/>
      <c r="Q94" s="43"/>
      <c r="R94" s="43"/>
      <c r="S94" s="43"/>
    </row>
    <row r="95" spans="1:19" x14ac:dyDescent="0.2">
      <c r="A95" s="91" t="s">
        <v>81</v>
      </c>
      <c r="B95" s="95" t="str">
        <f>'Parameters List'!B95</f>
        <v>Rx Processing Gain (dB)</v>
      </c>
      <c r="C95" s="67">
        <f>10*LOG10(C$46/2 * C$48 * C$51 * C$49) - $C$195</f>
        <v>35.182133132826678</v>
      </c>
      <c r="D95" s="67">
        <f>10*LOG10(D$46/2 * D$48 * D$51 * D$49) - $C$195</f>
        <v>46.321566655895047</v>
      </c>
      <c r="F95" s="43"/>
      <c r="G95" s="43"/>
      <c r="H95" s="43"/>
      <c r="I95" s="43"/>
      <c r="J95" s="43"/>
      <c r="K95" s="43"/>
      <c r="L95" s="43"/>
      <c r="M95" s="43"/>
      <c r="N95" s="43"/>
      <c r="O95" s="43"/>
      <c r="P95" s="43"/>
      <c r="Q95" s="43"/>
      <c r="R95" s="43"/>
      <c r="S95" s="43"/>
    </row>
    <row r="96" spans="1:19" x14ac:dyDescent="0.2">
      <c r="A96" s="91"/>
      <c r="B96" s="95" t="str">
        <f>'Parameters List'!B96</f>
        <v>Total Processing Gain (dB)</v>
      </c>
      <c r="C96" s="67">
        <f>C$95 + 20*LOG10($C$182) + (20*LOG10(C$34) - 2 * C$35) * (C$34&gt;1)-$C$179*(C$80=1)-$C$177*(C$80=1)</f>
        <v>63.927810267221382</v>
      </c>
      <c r="D96" s="67">
        <f>D$95 + 20*LOG10($C$182) + (20*LOG10(D$34) - 2 * D$35) * (D$34&gt;1)-$C$179*(D$80=1)-$C$177*(D$80=1)</f>
        <v>75.067243790289751</v>
      </c>
      <c r="F96" s="43"/>
      <c r="G96" s="43"/>
      <c r="H96" s="43"/>
      <c r="I96" s="43"/>
      <c r="J96" s="43"/>
      <c r="K96" s="43"/>
      <c r="L96" s="43"/>
      <c r="M96" s="43"/>
      <c r="N96" s="43"/>
      <c r="O96" s="43"/>
      <c r="P96" s="43"/>
      <c r="Q96" s="43"/>
      <c r="R96" s="43"/>
      <c r="S96" s="43"/>
    </row>
    <row r="97" spans="1:19" x14ac:dyDescent="0.2">
      <c r="A97" s="92"/>
      <c r="B97" s="95" t="str">
        <f>'Parameters List'!B97</f>
        <v>Total Loss (dB)</v>
      </c>
      <c r="C97" s="67">
        <f>$C$191 + ($C$202*(C$47=0)+$C$203*(C$47=1)+$C$198) + C$61 + C$64</f>
        <v>1.6627974634301317</v>
      </c>
      <c r="D97" s="67">
        <f>$C$191 + ($C$202*(D$47=0)+$C$203*(D$47=1)+$C$198) + D$61 + D$64</f>
        <v>1.6648914212532366</v>
      </c>
    </row>
    <row r="98" spans="1:19" x14ac:dyDescent="0.2">
      <c r="A98" s="91"/>
      <c r="B98" s="80" t="str">
        <f>'Parameters List'!B98</f>
        <v>SNR min range (dB)</v>
      </c>
      <c r="C98" s="70">
        <f>C$90+C$96-C$94-C$97</f>
        <v>61.548193475663318</v>
      </c>
      <c r="D98" s="70">
        <f>D$90+D$96-D$94-D$97</f>
        <v>34.519395534745144</v>
      </c>
      <c r="F98" s="43"/>
      <c r="G98" s="43"/>
      <c r="H98" s="43"/>
      <c r="I98" s="43"/>
      <c r="J98" s="43"/>
      <c r="K98" s="43"/>
      <c r="L98" s="43"/>
      <c r="M98" s="43"/>
      <c r="N98" s="43"/>
      <c r="O98" s="43"/>
      <c r="P98" s="43"/>
      <c r="Q98" s="43"/>
      <c r="R98" s="43"/>
      <c r="S98" s="43"/>
    </row>
    <row r="99" spans="1:19" x14ac:dyDescent="0.2">
      <c r="A99" s="91"/>
      <c r="B99" s="80" t="str">
        <f>'Parameters List'!B99</f>
        <v>SNR max range (dB)</v>
      </c>
      <c r="C99" s="70">
        <f>C$91+C$96-C$94-C$97</f>
        <v>22.750301189485022</v>
      </c>
      <c r="D99" s="70">
        <f>D$91+D$96-D$94-D$97</f>
        <v>11.430266737097355</v>
      </c>
      <c r="F99" s="43"/>
      <c r="G99" s="43"/>
      <c r="H99" s="43"/>
      <c r="I99" s="43"/>
      <c r="J99" s="43"/>
      <c r="K99" s="43"/>
      <c r="L99" s="43"/>
      <c r="M99" s="43"/>
      <c r="N99" s="43"/>
      <c r="O99" s="43"/>
      <c r="P99" s="43"/>
      <c r="Q99" s="43"/>
      <c r="R99" s="43"/>
      <c r="S99" s="43"/>
    </row>
    <row r="100" spans="1:19" x14ac:dyDescent="0.2">
      <c r="A100" s="91"/>
      <c r="B100" s="95" t="str">
        <f>'Parameters List'!B100</f>
        <v>Duty cycle per beam</v>
      </c>
      <c r="C100" s="67">
        <f>C$36/$C$104</f>
        <v>2.0232675771370764E-3</v>
      </c>
      <c r="D100" s="67">
        <f>D$36/$C$104</f>
        <v>2.6302478502781994E-2</v>
      </c>
      <c r="F100" s="43"/>
      <c r="G100" s="43"/>
      <c r="H100" s="43"/>
      <c r="I100" s="43"/>
      <c r="J100" s="43"/>
      <c r="K100" s="43"/>
      <c r="L100" s="43"/>
      <c r="M100" s="43"/>
      <c r="N100" s="43"/>
      <c r="O100" s="43"/>
      <c r="P100" s="43"/>
      <c r="Q100" s="43"/>
      <c r="R100" s="43"/>
      <c r="S100" s="43"/>
    </row>
    <row r="101" spans="1:19" x14ac:dyDescent="0.2">
      <c r="A101" s="91"/>
      <c r="B101" s="95" t="str">
        <f>'Parameters List'!B101</f>
        <v>Buffer size (KB)</v>
      </c>
      <c r="C101" s="67">
        <f>MROUND((IF(C$21, $C$210*$C$155, C$54)*C$51*8+64)/1024,4)</f>
        <v>5072</v>
      </c>
      <c r="D101" s="67">
        <f>MROUND((IF(D$21, $C$210*$C$155, D$54)*D$51*8+64)/1024,4)</f>
        <v>4940</v>
      </c>
      <c r="F101" s="43"/>
      <c r="G101" s="43"/>
      <c r="H101" s="43"/>
      <c r="I101" s="43"/>
      <c r="J101" s="43"/>
      <c r="K101" s="43"/>
      <c r="L101" s="43"/>
      <c r="M101" s="43"/>
      <c r="N101" s="43"/>
      <c r="O101" s="43"/>
      <c r="P101" s="43"/>
      <c r="Q101" s="43"/>
      <c r="R101" s="43"/>
      <c r="S101" s="43"/>
    </row>
    <row r="102" spans="1:19" x14ac:dyDescent="0.2">
      <c r="A102" s="91"/>
      <c r="B102" s="95" t="str">
        <f>'Parameters List'!B102</f>
        <v>PCIe Rate MB/s</v>
      </c>
      <c r="C102" s="67">
        <f>C$101*1024/C$30/1024</f>
        <v>61.670752110812806</v>
      </c>
      <c r="D102" s="67">
        <f>D$101*1024/D$30/1024</f>
        <v>60.065756196256956</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'Parameters List'!B104</f>
        <v>Total PRI (μs)</v>
      </c>
      <c r="C104" s="77">
        <f>(SUMIF($E$13:$AJ$13,"=1",$E$18:$AJ$18)*C$46+SUMIF($E$13:$AJ$13,"=2",$E$18:$AJ$18)*D$46)*$C$174+$C$208+COUNTIFS(E$13:AJ$13,"=1",E$15:AJ$15,"=1") * C$32 + COUNTIFS(E$13:AJ$13,"=1",E$15:AJ$15,"=2") * C$33 + COUNTIFS(E$13:AJ$13,"=2",E$15:AJ$15,"=1") * D$32 + COUNTIFS(E$13:AJ$13,"=2",E$15:AJ$15,"=2") * D$33</f>
        <v>197.7</v>
      </c>
      <c r="F104" s="43"/>
      <c r="G104" s="43"/>
      <c r="H104" s="43"/>
      <c r="I104" s="43"/>
      <c r="J104" s="43"/>
      <c r="K104" s="43"/>
      <c r="L104" s="43"/>
      <c r="M104" s="43"/>
      <c r="N104" s="43"/>
      <c r="O104" s="43"/>
      <c r="P104" s="43"/>
      <c r="Q104" s="43"/>
      <c r="R104" s="43"/>
      <c r="S104" s="43"/>
    </row>
    <row r="105" spans="1:19" x14ac:dyDescent="0.2">
      <c r="B105" s="76" t="str">
        <f>'Parameters List'!B105</f>
        <v>Unambiguous Range (km)</v>
      </c>
      <c r="C105" s="77">
        <f>$C$104*$C$163/1000</f>
        <v>29.634484473299999</v>
      </c>
      <c r="F105" s="43"/>
      <c r="G105" s="43"/>
      <c r="H105" s="43"/>
      <c r="I105" s="43"/>
      <c r="J105" s="43"/>
      <c r="K105" s="43"/>
      <c r="L105" s="43"/>
      <c r="M105" s="43"/>
      <c r="N105" s="43"/>
      <c r="O105" s="43"/>
      <c r="P105" s="43"/>
      <c r="Q105" s="43"/>
      <c r="R105" s="43"/>
      <c r="S105" s="43"/>
    </row>
    <row r="106" spans="1:19" x14ac:dyDescent="0.2">
      <c r="B106" s="76" t="str">
        <f>'Parameters List'!B106</f>
        <v>Total PRF (kHz)</v>
      </c>
      <c r="C106" s="77">
        <f>1000/$C$104</f>
        <v>5.0581689428426913</v>
      </c>
      <c r="F106" s="43"/>
      <c r="G106" s="43"/>
      <c r="H106" s="43"/>
      <c r="I106" s="43"/>
      <c r="J106" s="43"/>
      <c r="K106" s="43"/>
      <c r="L106" s="43"/>
      <c r="M106" s="43"/>
      <c r="N106" s="43"/>
      <c r="O106" s="43"/>
      <c r="P106" s="43"/>
      <c r="Q106" s="43"/>
      <c r="R106" s="43"/>
      <c r="S106" s="43"/>
    </row>
    <row r="107" spans="1:19" x14ac:dyDescent="0.2">
      <c r="B107" s="76" t="str">
        <f>'Parameters List'!B107</f>
        <v>Folding (Blind) Velocity (m/s)</v>
      </c>
      <c r="C107" s="77">
        <f>1000*$C$106/$C$168</f>
        <v>216.62870005058173</v>
      </c>
      <c r="F107" s="43"/>
      <c r="G107" s="43"/>
      <c r="H107" s="43"/>
      <c r="I107" s="43"/>
      <c r="J107" s="43"/>
      <c r="K107" s="43"/>
      <c r="L107" s="43"/>
      <c r="M107" s="43"/>
      <c r="N107" s="43"/>
      <c r="O107" s="43"/>
      <c r="P107" s="43"/>
      <c r="Q107" s="43"/>
      <c r="R107" s="43"/>
      <c r="S107" s="43"/>
    </row>
    <row r="108" spans="1:19" x14ac:dyDescent="0.2">
      <c r="B108" s="76" t="str">
        <f>'Parameters List'!B108</f>
        <v>Max Trk Vr STD for Res Vel Amb (m/s)</v>
      </c>
      <c r="C108" s="77">
        <f>$C$107/4</f>
        <v>54.157175012645432</v>
      </c>
      <c r="F108" s="43"/>
      <c r="G108" s="43"/>
      <c r="H108" s="43"/>
      <c r="I108" s="43"/>
      <c r="J108" s="43"/>
      <c r="K108" s="43"/>
      <c r="L108" s="43"/>
      <c r="M108" s="43"/>
      <c r="N108" s="43"/>
      <c r="O108" s="43"/>
      <c r="P108" s="43"/>
      <c r="Q108" s="43"/>
      <c r="R108" s="43"/>
      <c r="S108" s="43"/>
    </row>
    <row r="109" spans="1:19" x14ac:dyDescent="0.2">
      <c r="B109" s="76" t="str">
        <f>'Parameters List'!B109</f>
        <v>Antenna 1 PA Duty cycle</v>
      </c>
      <c r="C109" s="77">
        <f>C$100*IF(C$27&gt;0,C$27,C$26)+D$100*IF(D$27&gt;0,D$27,D$26)</f>
        <v>0.12948912493677289</v>
      </c>
      <c r="F109" s="43"/>
      <c r="G109" s="43"/>
      <c r="H109" s="43"/>
      <c r="I109" s="43"/>
      <c r="J109" s="43"/>
      <c r="K109" s="43"/>
      <c r="L109" s="43"/>
      <c r="M109" s="43"/>
      <c r="N109" s="43"/>
      <c r="O109" s="43"/>
      <c r="P109" s="43"/>
      <c r="Q109" s="43"/>
      <c r="R109" s="43"/>
      <c r="S109" s="43"/>
    </row>
    <row r="110" spans="1:19" x14ac:dyDescent="0.2">
      <c r="B110" s="76" t="str">
        <f>'Parameters List'!B110</f>
        <v>Antenna 2 PA Duty cycle</v>
      </c>
      <c r="C110" s="77">
        <f>C$100*IF(C$28&gt;0,C$28,C$26)+D$100*IF(D$28&gt;0,D$28,D$26)</f>
        <v>0.12948912493677289</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'Parameters List'!B112</f>
        <v>Tgt RCS (m^2):</v>
      </c>
      <c r="C112" s="74">
        <v>100</v>
      </c>
      <c r="D112" s="74">
        <v>0.1</v>
      </c>
      <c r="F112" s="43"/>
      <c r="G112" s="43"/>
      <c r="H112" s="43"/>
      <c r="I112" s="43"/>
      <c r="J112" s="43"/>
      <c r="K112" s="43"/>
      <c r="L112" s="43"/>
      <c r="M112" s="43"/>
      <c r="N112" s="43"/>
      <c r="O112" s="43"/>
      <c r="P112" s="43"/>
      <c r="Q112" s="43"/>
      <c r="R112" s="43"/>
      <c r="S112" s="43"/>
    </row>
    <row r="113" spans="2:19" x14ac:dyDescent="0.2">
      <c r="B113" s="78" t="str">
        <f>'Parameters List'!B113</f>
        <v>SNR @ Range (m):</v>
      </c>
      <c r="C113" s="74">
        <v>50000</v>
      </c>
      <c r="D113" s="74">
        <f>$C$163*D$36 + D$41</f>
        <v>809.46039080000003</v>
      </c>
    </row>
    <row r="114" spans="2:19" x14ac:dyDescent="0.2">
      <c r="B114" s="79" t="str">
        <f>'Parameters List'!B114</f>
        <v>Tgt @ADCin (dBm) - Ref. Rx</v>
      </c>
      <c r="C114" s="70">
        <f>$C$185+$C$186+$C$188+10*LOG10(C$112)+$C$189-$C$190-40*LOG10(C$113)+$C$171-C$84-C$85-$C$179*(C$80=1)</f>
        <v>-91.024365788155876</v>
      </c>
      <c r="D114" s="70">
        <f>$C$185+$C$186+$C$188+10*LOG10(D$112)+$C$189-$C$190-40*LOG10(D$113)+$C$171-D$84-D$85-$C$179*(D$80=1)</f>
        <v>-49.393389708501644</v>
      </c>
    </row>
    <row r="115" spans="2:19" x14ac:dyDescent="0.2">
      <c r="B115" s="95" t="str">
        <f>'Parameters List'!B115</f>
        <v>Tgt @ADCin (dBm) - 1st Rx - no calib.</v>
      </c>
      <c r="C115" s="70">
        <f>C$114-($C$188+$C$171-C$84-C$85-$C$179*(C$80=1))+$C$187+$C$170-C$82-C$83-$C$177*(C$80=1)</f>
        <v>-98.534365788155881</v>
      </c>
      <c r="D115" s="70">
        <f>D$114-($C$188+$C$171-D$84-D$85-$C$179*(D$80=1))+$C$187+$C$170-D$82-D$83-$C$177*(D$80=1)</f>
        <v>-56.903389708501642</v>
      </c>
      <c r="F115" s="43"/>
      <c r="G115" s="43"/>
      <c r="H115" s="43"/>
      <c r="I115" s="43"/>
      <c r="J115" s="43"/>
      <c r="K115" s="43"/>
      <c r="L115" s="43"/>
      <c r="M115" s="43"/>
      <c r="N115" s="43"/>
      <c r="O115" s="43"/>
      <c r="P115" s="43"/>
      <c r="Q115" s="43"/>
      <c r="R115" s="43"/>
      <c r="S115" s="43"/>
    </row>
    <row r="116" spans="2:19" x14ac:dyDescent="0.2">
      <c r="B116" s="95" t="str">
        <f>'Parameters List'!B116</f>
        <v>Tgt @ADCout (dBm) - 1st Rx</v>
      </c>
      <c r="C116" s="70">
        <f>C$114+20*LOG10($C$156/$C$157)-$C$177*(C$80=1)</f>
        <v>-74.534365788155881</v>
      </c>
      <c r="D116" s="70">
        <f>D$114+20*LOG10($C$156/$C$157)-$C$177*(D$80=1)</f>
        <v>-32.903389708501642</v>
      </c>
      <c r="F116" s="43"/>
      <c r="G116" s="43"/>
      <c r="H116" s="43"/>
      <c r="I116" s="43"/>
      <c r="J116" s="43"/>
      <c r="K116" s="43"/>
      <c r="L116" s="43"/>
      <c r="M116" s="43"/>
      <c r="N116" s="43"/>
      <c r="O116" s="43"/>
      <c r="P116" s="43"/>
      <c r="Q116" s="43"/>
      <c r="R116" s="43"/>
      <c r="S116" s="43"/>
    </row>
    <row r="117" spans="2:19" x14ac:dyDescent="0.2">
      <c r="B117" s="95" t="str">
        <f>'Parameters List'!B117</f>
        <v>Tgt @ADCout (dBm)</v>
      </c>
      <c r="C117" s="70">
        <f>20*LOG10(10^(C$114/20)+($C$155-1)*10^(C$116/20))+ (20*LOG10(C$34) - 2 * C$35) * (C$34&gt;1)</f>
        <v>-62.173830989785685</v>
      </c>
      <c r="D117" s="70">
        <f>20*LOG10(10^(D$114/20)+($C$155-1)*10^(D$116/20))+ (20*LOG10(D$34) - 2 * D$35) * (D$34&gt;1)</f>
        <v>-20.542854910131428</v>
      </c>
      <c r="G117" s="43"/>
      <c r="H117" s="43"/>
      <c r="I117" s="43"/>
      <c r="J117" s="43"/>
      <c r="K117" s="43"/>
      <c r="L117" s="43"/>
      <c r="M117" s="43"/>
      <c r="N117" s="43"/>
      <c r="O117" s="43"/>
      <c r="P117" s="43"/>
      <c r="Q117" s="43"/>
      <c r="R117" s="43"/>
      <c r="S117" s="43"/>
    </row>
    <row r="118" spans="2:19" x14ac:dyDescent="0.2">
      <c r="B118" s="79" t="str">
        <f>'Parameters List'!B118</f>
        <v>SNR (dB)</v>
      </c>
      <c r="C118" s="70">
        <f>C117-C$94-C$97+C$95</f>
        <v>1.8559375538211356</v>
      </c>
      <c r="D118" s="70">
        <f>D117-D$94-D$97+D$95</f>
        <v>54.624253198720652</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'Parameters List'!B120</f>
        <v>Probability of Detection @ SNR (dB):</v>
      </c>
      <c r="C120" s="64">
        <v>15</v>
      </c>
      <c r="D120" s="64">
        <v>18</v>
      </c>
    </row>
    <row r="121" spans="2:19" x14ac:dyDescent="0.2">
      <c r="B121" s="71" t="str">
        <f>'Parameters List'!B121</f>
        <v>SWERLING (0, I, II, III, IV)</v>
      </c>
      <c r="C121" s="64">
        <v>1</v>
      </c>
      <c r="D121" s="64">
        <v>0</v>
      </c>
    </row>
    <row r="122" spans="2:19" x14ac:dyDescent="0.2">
      <c r="B122" s="79" t="str">
        <f>'Parameters List'!B122</f>
        <v>Probability of Detection</v>
      </c>
      <c r="C122" s="70">
        <f>pf_PD_PFA_CFAR("pd", C$74, C$120, C$121, C$68*2, 1)</f>
        <v>0.61758884987397955</v>
      </c>
      <c r="D122" s="70">
        <f>pf_PD_PFA_CFAR("pd", D$74, D$120, D$121, D$68*2, 1)</f>
        <v>0.99998267048047784</v>
      </c>
    </row>
    <row r="123" spans="2:19" x14ac:dyDescent="0.2">
      <c r="B123" s="71" t="str">
        <f>'Parameters List'!B123</f>
        <v>Pd for at least N of M detections (N,M)</v>
      </c>
      <c r="C123" s="105" t="s">
        <v>386</v>
      </c>
      <c r="D123" s="105" t="s">
        <v>386</v>
      </c>
    </row>
    <row r="124" spans="2:19" x14ac:dyDescent="0.2">
      <c r="B124" s="79" t="str">
        <f>'Parameters List'!B124</f>
        <v>Probability of Detection</v>
      </c>
      <c r="C124" s="70">
        <f>pf_PD_N_OUTOF_M(C$122, LEFT(C$123,FIND(",",C$123,1) - 1), MID(C$123,FIND(",",C$123,1)+1,100))</f>
        <v>0.92578423985483382</v>
      </c>
      <c r="D124" s="70">
        <f>pf_PD_N_OUTOF_M(D$122, LEFT(D$123,FIND(",",D$123,1) - 1), MID(D$123,FIND(",",D$123,1)+1,100))</f>
        <v>1</v>
      </c>
    </row>
    <row r="125" spans="2:19" x14ac:dyDescent="0.2">
      <c r="B125" s="75"/>
    </row>
    <row r="126" spans="2:19" x14ac:dyDescent="0.2">
      <c r="B126" s="71" t="str">
        <f>'Parameters List'!B126</f>
        <v>Target Revisit Time (sec)</v>
      </c>
      <c r="C126" s="64">
        <v>0.05</v>
      </c>
      <c r="D126" s="64">
        <v>0.05</v>
      </c>
    </row>
    <row r="127" spans="2:19" x14ac:dyDescent="0.2">
      <c r="B127" s="68" t="str">
        <f>'Parameters List'!B127</f>
        <v>Acceleration Folding (m/s2)</v>
      </c>
      <c r="C127" s="67">
        <f>$C$107/C$126</f>
        <v>4332.5740010116342</v>
      </c>
      <c r="D127" s="67">
        <f>$C$107/D$126</f>
        <v>4332.5740010116342</v>
      </c>
    </row>
    <row r="128" spans="2:19" x14ac:dyDescent="0.2">
      <c r="B128" s="80" t="str">
        <f>'Parameters List'!B128</f>
        <v>Maximum Allowed Acceleration (m/s2)</v>
      </c>
      <c r="C128" s="70">
        <f>($C$107/4)/C$126</f>
        <v>1083.1435002529086</v>
      </c>
      <c r="D128" s="70">
        <f>($C$107/4)/D$126</f>
        <v>1083.1435002529086</v>
      </c>
    </row>
    <row r="129" spans="2:19" x14ac:dyDescent="0.2">
      <c r="B129" s="80" t="str">
        <f>'Parameters List'!B129</f>
        <v>Acceleration Ambiguity (m/s2)</v>
      </c>
      <c r="C129" s="70">
        <f>C$127-C$128</f>
        <v>3249.4305007587254</v>
      </c>
      <c r="D129" s="70">
        <f>D$127-D$128</f>
        <v>3249.4305007587254</v>
      </c>
    </row>
    <row r="130" spans="2:19" x14ac:dyDescent="0.2">
      <c r="B130" s="75"/>
    </row>
    <row r="131" spans="2:19" x14ac:dyDescent="0.2">
      <c r="B131" s="78" t="str">
        <f>'Parameters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'Parameters List'!B132</f>
        <v>SNR @ Range (m):</v>
      </c>
      <c r="C132" s="74">
        <f>$C$163*C$36 + C$41</f>
        <v>89.958491600000002</v>
      </c>
      <c r="D132" s="74">
        <f>$C$163*D$36 + D$41</f>
        <v>809.46039080000003</v>
      </c>
    </row>
    <row r="133" spans="2:19" x14ac:dyDescent="0.2">
      <c r="B133" s="79" t="str">
        <f>'Parameters List'!B133</f>
        <v>Tgt @ADCin (dBm) - Ref. Rx</v>
      </c>
      <c r="C133" s="70">
        <f>$C$185+$C$186+$C$188+10*LOG10(C$131)+$C$189-$C$190-40*LOG10(C$132)+$C$171-C$84-C$85-$C$179*(C$80=1)</f>
        <v>-21.227252202338207</v>
      </c>
      <c r="D133" s="70">
        <f>$C$185+$C$186+$C$188+10*LOG10(D$131)+$C$189-$C$190-40*LOG10(D$132)+$C$171-D$84-D$85-$C$179*(D$80=1)</f>
        <v>-49.393389708501644</v>
      </c>
    </row>
    <row r="134" spans="2:19" x14ac:dyDescent="0.2">
      <c r="B134" s="78" t="str">
        <f>'Parameters List'!B134</f>
        <v>Interferer @ Range (m)</v>
      </c>
      <c r="C134" s="74">
        <v>10000</v>
      </c>
      <c r="D134" s="74">
        <v>10000</v>
      </c>
    </row>
    <row r="135" spans="2:19" x14ac:dyDescent="0.2">
      <c r="B135" s="79" t="str">
        <f>'Parameters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'Parameters List'!B136</f>
        <v>Interferer @ ADCin (dBm) - 1st Rx</v>
      </c>
      <c r="C136" s="70">
        <f>C$135+20*LOG10($C$156/$C$157)-$C$177*(C$80=1)</f>
        <v>24.416533025505835</v>
      </c>
      <c r="D136" s="70">
        <f>$C$185+$C$186+$C$187-$C$166+$C$189-$C$190/3*2-20*LOG10(D$134)+$C$170-D$84-D$85-$C$177*(D$80=1)</f>
        <v>20.416533025505835</v>
      </c>
    </row>
    <row r="137" spans="2:19" x14ac:dyDescent="0.2">
      <c r="B137" s="81" t="str">
        <f>'Parameters List'!B137</f>
        <v>Ref. Rx Phase Noise @ADCin (dBm/bin)</v>
      </c>
      <c r="C137" s="67">
        <f>C$135+$C$165+10*LOG10(1/(C$30*10^-3))+10*LOG10($C$175*10^6/($C$106*10^3))</f>
        <v>-67.243800367481967</v>
      </c>
      <c r="D137" s="67">
        <f>D$135+$C$165+10*LOG10(1/(D$30*10^-3))+10*LOG10($C$175*10^6/($C$106*10^3))</f>
        <v>-67.243800367481967</v>
      </c>
    </row>
    <row r="138" spans="2:19" x14ac:dyDescent="0.2">
      <c r="B138" s="81" t="str">
        <f>'Parameters List'!B138</f>
        <v>Ref. Rx Phase Noise @ADCout (dBm/bin)</v>
      </c>
      <c r="C138" s="67">
        <f>C$137+C$95</f>
        <v>-32.061667234655289</v>
      </c>
      <c r="D138" s="67">
        <f>D$137+D$95</f>
        <v>-20.922233711586919</v>
      </c>
    </row>
    <row r="139" spans="2:19" x14ac:dyDescent="0.2">
      <c r="B139" s="81" t="str">
        <f>'Parameters List'!B139</f>
        <v>Ref. Rx Total Noise @ADCout (dBm/bin)</v>
      </c>
      <c r="C139" s="67">
        <f>10*LOG10(10 ^ (C$138 / 10) + 10 ^ (C$93 / 10))</f>
        <v>-31.906349167116936</v>
      </c>
      <c r="D139" s="67">
        <f>10*LOG10(10 ^ (D$138 / 10) + 10 ^ (D$93 / 10))</f>
        <v>-20.910086958748025</v>
      </c>
    </row>
    <row r="140" spans="2:19" x14ac:dyDescent="0.2">
      <c r="B140" s="81" t="str">
        <f>'Parameters List'!B140</f>
        <v>1st Rx Phase Noise @ADCout (dBm/bin)</v>
      </c>
      <c r="C140" s="67">
        <f>C$136+$C$165+10*LOG10(1/(C$30*10^-3))+10*LOG10($C$175*10^6/($C$106*10^3))+C$95</f>
        <v>-15.571667234655294</v>
      </c>
      <c r="D140" s="67">
        <f>D$136+$C$165+10*LOG10(1/(D$30*10^-3))+10*LOG10($C$175*10^6/($C$106*10^3))+D$95</f>
        <v>-8.4322337115869246</v>
      </c>
    </row>
    <row r="141" spans="2:19" x14ac:dyDescent="0.2">
      <c r="B141" s="81" t="str">
        <f>'Parameters List'!B141</f>
        <v>1st Rx Total Noise @ADCout (dBm/bin)</v>
      </c>
      <c r="C141" s="67">
        <f>10*LOG10(10 ^ (C$140 / 10) + 10 ^ (C$92 / 10))</f>
        <v>-15.537864658411138</v>
      </c>
      <c r="D141" s="67">
        <f>10*LOG10(10 ^ (D$140 / 10) + 10 ^ (D$92 / 10))</f>
        <v>-8.4256817697187802</v>
      </c>
    </row>
    <row r="142" spans="2:19" x14ac:dyDescent="0.2">
      <c r="B142" s="81" t="str">
        <f>'Parameters List'!B142</f>
        <v>Total Noise Power @ADCout (dBm/bin)</v>
      </c>
      <c r="C142" s="67">
        <f>10*LOG10((($C$155-1) * 10^(C$140/20) + 10^(C$138/20))^2*((C$34 - 10^(C$35/10))*(C$34&gt;1) + 1) ^ 2 + 10^(C$94/10))</f>
        <v>-3.2030517142346548</v>
      </c>
      <c r="D142" s="67">
        <f>10*LOG10((($C$155-1) * 10^(D$140/20) + 10^(D$138/20))^2*((D$34 - 10^(D$35/10))*(D$34&gt;1) + 1) ^ 2 + 10^(D$94/10))</f>
        <v>4.1112757523026344</v>
      </c>
    </row>
    <row r="143" spans="2:19" x14ac:dyDescent="0.2">
      <c r="B143" s="79" t="str">
        <f>'Parameters List'!B143</f>
        <v>SNR (dB)</v>
      </c>
      <c r="C143" s="70">
        <f>IF(C$134&lt;=0, C$133+C$96-C$94, C$133+C$96 -C$142)-C$97</f>
        <v>44.240812315687698</v>
      </c>
      <c r="D143" s="70">
        <f>IF(D$134&lt;=0, D$133+D$96-D$94, D$133+D$96 -D$142)-D$97</f>
        <v>19.897686908232235</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'Parameters List'!B146</f>
        <v>Ref Rx Noise @ADCout (dBm/bin)</v>
      </c>
      <c r="C146" s="70">
        <f>C$93-C$95</f>
        <v>-81.631533219547052</v>
      </c>
      <c r="D146" s="83">
        <f>D$93-D$95</f>
        <v>-92.770966742615428</v>
      </c>
      <c r="F146" s="43"/>
      <c r="G146" s="43"/>
      <c r="H146" s="43"/>
      <c r="I146" s="43"/>
      <c r="J146" s="43"/>
      <c r="K146" s="43"/>
      <c r="L146" s="43"/>
      <c r="M146" s="43"/>
      <c r="N146" s="43"/>
      <c r="O146" s="43"/>
      <c r="P146" s="43"/>
      <c r="Q146" s="43"/>
      <c r="R146" s="43"/>
      <c r="S146" s="43"/>
    </row>
    <row r="147" spans="2:19" x14ac:dyDescent="0.2">
      <c r="B147" s="82" t="str">
        <f>'Parameters List'!B147</f>
        <v>1st Rx Noise @ADCout (dBm/bin)</v>
      </c>
      <c r="C147" s="70">
        <f>C$92-C$95</f>
        <v>-71.825233219547044</v>
      </c>
      <c r="D147" s="83">
        <f>D$92-D$95</f>
        <v>-82.964666742615421</v>
      </c>
    </row>
    <row r="148" spans="2:19" ht="15" thickBot="1" x14ac:dyDescent="0.25">
      <c r="B148" s="84" t="str">
        <f>'Parameters List'!B148</f>
        <v>Beam Total Noise @ADCout (dBm/bin)</v>
      </c>
      <c r="C148" s="85">
        <f>C$94-C$95 - (10*LOG10(C$34) - C$35) * (C$34&gt;1)</f>
        <v>-65.692566007036959</v>
      </c>
      <c r="D148" s="86">
        <f>D$94-D$95 - (10*LOG10(D$34) - D$35) * (D$34&gt;1)</f>
        <v>-76.831999530105321</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'Parameters List'!B151</f>
        <v>Ref Rx Noise @ADCout (dBm/bin)</v>
      </c>
      <c r="C151" s="70">
        <f>C$139-C$95</f>
        <v>-67.088482299943621</v>
      </c>
      <c r="D151" s="83">
        <f>D$139-D$95</f>
        <v>-67.231653614643079</v>
      </c>
      <c r="F151" s="43"/>
      <c r="G151" s="43"/>
      <c r="H151" s="43"/>
      <c r="I151" s="43"/>
      <c r="J151" s="43"/>
      <c r="K151" s="43"/>
      <c r="L151" s="43"/>
      <c r="M151" s="43"/>
      <c r="N151" s="43"/>
      <c r="O151" s="43"/>
      <c r="P151" s="43"/>
      <c r="Q151" s="43"/>
      <c r="R151" s="43"/>
      <c r="S151" s="43"/>
    </row>
    <row r="152" spans="2:19" x14ac:dyDescent="0.2">
      <c r="B152" s="82" t="str">
        <f>'Parameters List'!B152</f>
        <v>1st Rx Noise @ADCout (dBm/bin)</v>
      </c>
      <c r="C152" s="70">
        <f>C$141-C$95</f>
        <v>-50.719997791237816</v>
      </c>
      <c r="D152" s="83">
        <f>D$141-D$95</f>
        <v>-54.747248425613826</v>
      </c>
    </row>
    <row r="153" spans="2:19" ht="15" thickBot="1" x14ac:dyDescent="0.25">
      <c r="B153" s="84" t="str">
        <f>'Parameters List'!B153</f>
        <v>Beam Total Noise @ADCout (dBm/bin)</v>
      </c>
      <c r="C153" s="85">
        <f>10*LOG10(10 ^ ((C$137 + C$96 - (20*LOG10(C$34) - 2*C$35) * (C$34&gt;1))/ 10) + 10 ^ ((C$94 - (10*LOG10(C$34) - C$35) * (C$34&gt;1)) / 10)) - C$95</f>
        <v>-38.489845220783856</v>
      </c>
      <c r="D153" s="86">
        <f>10*LOG10(10 ^ ((D$137 + D$96 - (20*LOG10(D$34) - 2*D$35) * (D$34&gt;1))/ 10) + 10 ^ ((D$94 - (10*LOG10(D$34) - D$35) * (D$34&gt;1)) / 10)) - D$95</f>
        <v>-38.49748590242266</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'General System Parameters'!B9</f>
        <v># Rcvrs</v>
      </c>
      <c r="C155" s="33">
        <f>'General System Parameters'!C9</f>
        <v>5</v>
      </c>
      <c r="F155" s="43"/>
      <c r="G155" s="43"/>
      <c r="H155" s="43"/>
      <c r="I155" s="43"/>
      <c r="J155" s="43"/>
      <c r="K155" s="43"/>
      <c r="L155" s="43"/>
      <c r="M155" s="43"/>
      <c r="N155" s="43"/>
      <c r="O155" s="43"/>
      <c r="P155" s="43"/>
      <c r="Q155" s="43"/>
      <c r="R155" s="43"/>
      <c r="S155" s="43"/>
    </row>
    <row r="156" spans="2:19" x14ac:dyDescent="0.2">
      <c r="B156" s="32" t="str">
        <f>'General System Parameters'!B10</f>
        <v># Patches in 1st Rx</v>
      </c>
      <c r="C156" s="33">
        <f>'General System Parameters'!C10</f>
        <v>10</v>
      </c>
      <c r="F156" s="43"/>
      <c r="G156" s="43"/>
      <c r="H156" s="43"/>
      <c r="I156" s="43"/>
      <c r="J156" s="43"/>
      <c r="K156" s="43"/>
      <c r="L156" s="43"/>
      <c r="M156" s="43"/>
      <c r="N156" s="43"/>
      <c r="O156" s="43"/>
      <c r="P156" s="43"/>
      <c r="Q156" s="43"/>
      <c r="R156" s="43"/>
      <c r="S156" s="43"/>
    </row>
    <row r="157" spans="2:19" x14ac:dyDescent="0.2">
      <c r="B157" s="32" t="str">
        <f>'General System Parameters'!B11</f>
        <v># Patches in Ref (Guard) Rx</v>
      </c>
      <c r="C157" s="33">
        <f>'General System Parameters'!C11</f>
        <v>1</v>
      </c>
      <c r="F157" s="43"/>
      <c r="G157" s="43"/>
      <c r="H157" s="43"/>
      <c r="I157" s="43"/>
      <c r="J157" s="43"/>
      <c r="K157" s="43"/>
      <c r="L157" s="43"/>
      <c r="M157" s="43"/>
      <c r="N157" s="43"/>
      <c r="O157" s="43"/>
      <c r="P157" s="43"/>
      <c r="Q157" s="43"/>
      <c r="R157" s="43"/>
      <c r="S157" s="43"/>
    </row>
    <row r="158" spans="2:19" x14ac:dyDescent="0.2">
      <c r="B158" s="32" t="str">
        <f>'General System Parameters'!B12</f>
        <v>Typical System Gain (dB) - 1st Rx</v>
      </c>
      <c r="C158" s="33">
        <f>'General System Parameters'!C12</f>
        <v>59.76</v>
      </c>
      <c r="F158" s="43"/>
      <c r="G158" s="43"/>
      <c r="H158" s="43"/>
      <c r="I158" s="43"/>
      <c r="J158" s="43"/>
      <c r="K158" s="43"/>
      <c r="L158" s="43"/>
      <c r="M158" s="43"/>
      <c r="N158" s="43"/>
      <c r="O158" s="43"/>
      <c r="P158" s="43"/>
      <c r="Q158" s="43"/>
      <c r="R158" s="43"/>
      <c r="S158" s="43"/>
    </row>
    <row r="159" spans="2:19" x14ac:dyDescent="0.2">
      <c r="B159" s="32" t="str">
        <f>'General System Parameters'!B13</f>
        <v>Typical System Gain (dB) - Ref (Guard) Rx</v>
      </c>
      <c r="C159" s="33">
        <f>'General System Parameters'!C13</f>
        <v>54.1</v>
      </c>
      <c r="F159" s="43"/>
      <c r="G159" s="43"/>
      <c r="H159" s="43"/>
      <c r="I159" s="43"/>
      <c r="J159" s="43"/>
      <c r="K159" s="43"/>
      <c r="L159" s="43"/>
      <c r="M159" s="43"/>
      <c r="N159" s="43"/>
      <c r="O159" s="43"/>
      <c r="P159" s="43"/>
      <c r="Q159" s="43"/>
      <c r="R159" s="43"/>
      <c r="S159" s="43"/>
    </row>
    <row r="160" spans="2:19" x14ac:dyDescent="0.2">
      <c r="B160" s="32" t="str">
        <f>'General System Parameters'!B14</f>
        <v>Typical 1st Rx Calibration (dB)</v>
      </c>
      <c r="C160" s="33">
        <f>'General System Parameters'!C14</f>
        <v>4.3400000000000105</v>
      </c>
      <c r="F160" s="43"/>
      <c r="G160" s="43"/>
      <c r="H160" s="43"/>
      <c r="I160" s="43"/>
      <c r="J160" s="43"/>
      <c r="K160" s="43"/>
      <c r="L160" s="43"/>
      <c r="M160" s="43"/>
      <c r="N160" s="43"/>
      <c r="O160" s="43"/>
      <c r="P160" s="43"/>
      <c r="Q160" s="43"/>
      <c r="R160" s="43"/>
      <c r="S160" s="43"/>
    </row>
    <row r="161" spans="2:19" x14ac:dyDescent="0.2">
      <c r="B161" s="32" t="str">
        <f>'General System Parameters'!B15</f>
        <v>System Propagation Delay (us)</v>
      </c>
      <c r="C161" s="33">
        <f>'General System Parameters'!C15</f>
        <v>0.15</v>
      </c>
      <c r="F161" s="43"/>
      <c r="G161" s="43"/>
      <c r="H161" s="43"/>
      <c r="I161" s="43"/>
      <c r="J161" s="43"/>
      <c r="K161" s="43"/>
      <c r="L161" s="43"/>
      <c r="M161" s="43"/>
      <c r="N161" s="43"/>
      <c r="O161" s="43"/>
      <c r="P161" s="43"/>
      <c r="Q161" s="43"/>
      <c r="R161" s="43"/>
      <c r="S161" s="43"/>
    </row>
    <row r="162" spans="2:19" x14ac:dyDescent="0.2">
      <c r="B162" s="32" t="str">
        <f>'General System Parameters'!B16</f>
        <v>c (m/s)</v>
      </c>
      <c r="C162" s="33">
        <f>'General System Parameters'!C16</f>
        <v>299792458</v>
      </c>
      <c r="F162" s="43"/>
      <c r="G162" s="43"/>
      <c r="H162" s="43"/>
      <c r="I162" s="43"/>
      <c r="J162" s="43"/>
      <c r="K162" s="43"/>
      <c r="L162" s="43"/>
      <c r="M162" s="43"/>
      <c r="N162" s="43"/>
      <c r="O162" s="43"/>
      <c r="P162" s="43"/>
      <c r="Q162" s="43"/>
      <c r="R162" s="43"/>
      <c r="S162" s="43"/>
    </row>
    <row r="163" spans="2:19" x14ac:dyDescent="0.2">
      <c r="B163" s="32" t="str">
        <f>'General System Parameters'!B17</f>
        <v>c/2 (m/μs)</v>
      </c>
      <c r="C163" s="33">
        <f>'General System Parameters'!C17</f>
        <v>149.89622900000001</v>
      </c>
      <c r="F163" s="43"/>
      <c r="G163" s="43"/>
      <c r="H163" s="43"/>
      <c r="I163" s="43"/>
      <c r="J163" s="43"/>
      <c r="K163" s="43"/>
      <c r="L163" s="43"/>
      <c r="M163" s="43"/>
      <c r="N163" s="43"/>
      <c r="O163" s="43"/>
      <c r="P163" s="43"/>
      <c r="Q163" s="43"/>
      <c r="R163" s="43"/>
      <c r="S163" s="43"/>
    </row>
    <row r="164" spans="2:19" x14ac:dyDescent="0.2">
      <c r="B164" s="30" t="str">
        <f>'General System Parameters'!B18</f>
        <v>Freq (GHz)</v>
      </c>
      <c r="C164" s="31">
        <f>'General System Parameters'!C18</f>
        <v>3.5</v>
      </c>
      <c r="F164" s="43"/>
      <c r="G164" s="43"/>
      <c r="H164" s="43"/>
      <c r="I164" s="43"/>
      <c r="J164" s="43"/>
      <c r="K164" s="43"/>
      <c r="L164" s="43"/>
      <c r="M164" s="43"/>
      <c r="N164" s="43"/>
      <c r="O164" s="43"/>
      <c r="P164" s="43"/>
      <c r="Q164" s="43"/>
      <c r="R164" s="43"/>
      <c r="S164" s="43"/>
    </row>
    <row r="165" spans="2:19" x14ac:dyDescent="0.2">
      <c r="B165" s="30" t="str">
        <f>'General System Parameters'!B19</f>
        <v>Phase Noise Level (dBc/Hz)</v>
      </c>
      <c r="C165" s="31">
        <f>'General System Parameters'!C19</f>
        <v>-125</v>
      </c>
      <c r="F165" s="43"/>
      <c r="G165" s="43"/>
      <c r="H165" s="43"/>
      <c r="I165" s="43"/>
      <c r="J165" s="43"/>
      <c r="K165" s="43"/>
      <c r="L165" s="43"/>
      <c r="M165" s="43"/>
      <c r="N165" s="43"/>
      <c r="O165" s="43"/>
      <c r="P165" s="43"/>
      <c r="Q165" s="43"/>
      <c r="R165" s="43"/>
      <c r="S165" s="43"/>
    </row>
    <row r="166" spans="2:19" x14ac:dyDescent="0.2">
      <c r="B166" s="30" t="str">
        <f>'General System Parameters'!B20</f>
        <v>Polarization Loss (dB)</v>
      </c>
      <c r="C166" s="31">
        <f>'General System Parameters'!C20</f>
        <v>0</v>
      </c>
      <c r="F166" s="43"/>
      <c r="G166" s="43"/>
      <c r="H166" s="43"/>
      <c r="I166" s="43"/>
      <c r="J166" s="43"/>
      <c r="K166" s="43"/>
      <c r="L166" s="43"/>
      <c r="M166" s="43"/>
      <c r="N166" s="43"/>
      <c r="O166" s="43"/>
      <c r="P166" s="43"/>
      <c r="Q166" s="43"/>
      <c r="R166" s="43"/>
      <c r="S166" s="43"/>
    </row>
    <row r="167" spans="2:19" x14ac:dyDescent="0.2">
      <c r="B167" s="34" t="str">
        <f>'General System Parameters'!B21</f>
        <v>λ (m)</v>
      </c>
      <c r="C167" s="35">
        <f>'General System Parameters'!C21</f>
        <v>8.5654988000000001E-2</v>
      </c>
      <c r="F167" s="43"/>
      <c r="G167" s="43"/>
      <c r="H167" s="43"/>
      <c r="I167" s="43"/>
      <c r="J167" s="43"/>
      <c r="K167" s="43"/>
      <c r="L167" s="43"/>
      <c r="M167" s="43"/>
      <c r="N167" s="43"/>
      <c r="O167" s="43"/>
      <c r="P167" s="43"/>
      <c r="Q167" s="43"/>
      <c r="R167" s="43"/>
      <c r="S167" s="43"/>
    </row>
    <row r="168" spans="2:19" x14ac:dyDescent="0.2">
      <c r="B168" s="34" t="str">
        <f>'General System Parameters'!B22</f>
        <v>Doppler factor (Hz/(m/sec))</v>
      </c>
      <c r="C168" s="35">
        <f>'General System Parameters'!C22</f>
        <v>23.349486663870643</v>
      </c>
      <c r="F168" s="43"/>
      <c r="G168" s="43"/>
      <c r="H168" s="43"/>
      <c r="I168" s="43"/>
      <c r="J168" s="43"/>
      <c r="K168" s="43"/>
      <c r="L168" s="43"/>
      <c r="M168" s="43"/>
      <c r="N168" s="43"/>
      <c r="O168" s="43"/>
      <c r="P168" s="43"/>
      <c r="Q168" s="43"/>
      <c r="R168" s="43"/>
      <c r="S168" s="43"/>
    </row>
    <row r="169" spans="2:19" x14ac:dyDescent="0.2">
      <c r="B169" s="36" t="str">
        <f>'General System Parameters'!B23</f>
        <v>ALC</v>
      </c>
      <c r="C169" s="31">
        <f>'General System Parameters'!C23</f>
        <v>0</v>
      </c>
      <c r="F169" s="43"/>
      <c r="G169" s="43"/>
      <c r="H169" s="43"/>
      <c r="I169" s="43"/>
      <c r="J169" s="43"/>
      <c r="K169" s="43"/>
      <c r="L169" s="43"/>
      <c r="M169" s="43"/>
      <c r="N169" s="43"/>
      <c r="O169" s="43"/>
      <c r="P169" s="43"/>
      <c r="Q169" s="43"/>
      <c r="R169" s="43"/>
      <c r="S169" s="43"/>
    </row>
    <row r="170" spans="2:19" x14ac:dyDescent="0.2">
      <c r="B170" s="36" t="str">
        <f>'General System Parameters'!B24</f>
        <v>Actual System Gain (dB) - 1st Rx</v>
      </c>
      <c r="C170" s="31">
        <f>'General System Parameters'!C24</f>
        <v>60</v>
      </c>
      <c r="F170" s="43"/>
      <c r="G170" s="43"/>
      <c r="H170" s="43"/>
      <c r="I170" s="43"/>
      <c r="J170" s="43"/>
      <c r="K170" s="43"/>
      <c r="L170" s="43"/>
      <c r="M170" s="43"/>
      <c r="N170" s="43"/>
      <c r="O170" s="43"/>
      <c r="P170" s="43"/>
      <c r="Q170" s="43"/>
      <c r="R170" s="43"/>
      <c r="S170" s="43"/>
    </row>
    <row r="171" spans="2:19" x14ac:dyDescent="0.2">
      <c r="B171" s="36" t="str">
        <f>'General System Parameters'!B25</f>
        <v>Actual System Gain (dB) - Ref Rx</v>
      </c>
      <c r="C171" s="31">
        <f>'General System Parameters'!C25</f>
        <v>54</v>
      </c>
      <c r="F171" s="43"/>
      <c r="G171" s="43"/>
      <c r="H171" s="43"/>
      <c r="I171" s="43"/>
      <c r="J171" s="43"/>
      <c r="K171" s="43"/>
      <c r="L171" s="43"/>
      <c r="M171" s="43"/>
      <c r="N171" s="43"/>
      <c r="O171" s="43"/>
      <c r="P171" s="43"/>
      <c r="Q171" s="43"/>
      <c r="R171" s="43"/>
      <c r="S171" s="43"/>
    </row>
    <row r="172" spans="2:19" x14ac:dyDescent="0.2">
      <c r="B172" s="34" t="str">
        <f>'General System Parameters'!B26</f>
        <v>Actual 1st Rx Calibration (dB)</v>
      </c>
      <c r="C172" s="35">
        <f>'General System Parameters'!C26</f>
        <v>4</v>
      </c>
      <c r="F172" s="43"/>
      <c r="G172" s="43"/>
      <c r="H172" s="43"/>
      <c r="I172" s="43"/>
      <c r="J172" s="43"/>
      <c r="K172" s="43"/>
      <c r="L172" s="43"/>
      <c r="M172" s="43"/>
      <c r="N172" s="43"/>
      <c r="O172" s="43"/>
      <c r="P172" s="43"/>
      <c r="Q172" s="43"/>
      <c r="R172" s="43"/>
      <c r="S172" s="43"/>
    </row>
    <row r="173" spans="2:19" x14ac:dyDescent="0.2">
      <c r="B173" s="32" t="str">
        <f>'General System Parameters'!B27</f>
        <v>KT (dBm/Hz)</v>
      </c>
      <c r="C173" s="33">
        <f>'General System Parameters'!C27</f>
        <v>-174</v>
      </c>
      <c r="F173" s="43"/>
      <c r="G173" s="43"/>
      <c r="H173" s="43"/>
      <c r="I173" s="43"/>
      <c r="J173" s="43"/>
      <c r="K173" s="43"/>
      <c r="L173" s="43"/>
      <c r="M173" s="43"/>
      <c r="N173" s="43"/>
      <c r="O173" s="43"/>
      <c r="P173" s="43"/>
      <c r="Q173" s="43"/>
      <c r="R173" s="43"/>
      <c r="S173" s="43"/>
    </row>
    <row r="174" spans="2:19" x14ac:dyDescent="0.2">
      <c r="B174" s="32" t="str">
        <f>'General System Parameters'!B28</f>
        <v>Sample Period (us)</v>
      </c>
      <c r="C174" s="33">
        <f>'General System Parameters'!C28</f>
        <v>1.2500000000000001E-2</v>
      </c>
      <c r="F174" s="43"/>
      <c r="G174" s="43"/>
      <c r="H174" s="43"/>
      <c r="I174" s="43"/>
      <c r="J174" s="43"/>
      <c r="K174" s="43"/>
      <c r="L174" s="43"/>
      <c r="M174" s="43"/>
      <c r="N174" s="43"/>
      <c r="O174" s="43"/>
      <c r="P174" s="43"/>
      <c r="Q174" s="43"/>
      <c r="R174" s="43"/>
      <c r="S174" s="43"/>
    </row>
    <row r="175" spans="2:19" x14ac:dyDescent="0.2">
      <c r="B175" s="37" t="str">
        <f>'General System Parameters'!B29</f>
        <v>ADC Bandwidth (MHz)</v>
      </c>
      <c r="C175" s="35">
        <f>'General System Parameters'!C29</f>
        <v>40</v>
      </c>
      <c r="F175" s="43"/>
      <c r="G175" s="43"/>
      <c r="H175" s="43"/>
      <c r="I175" s="43"/>
      <c r="J175" s="43"/>
      <c r="K175" s="43"/>
      <c r="L175" s="43"/>
      <c r="M175" s="43"/>
      <c r="N175" s="43"/>
      <c r="O175" s="43"/>
      <c r="P175" s="43"/>
      <c r="Q175" s="43"/>
      <c r="R175" s="43"/>
      <c r="S175" s="43"/>
    </row>
    <row r="176" spans="2:19" x14ac:dyDescent="0.2">
      <c r="B176" s="32" t="str">
        <f>'General System Parameters'!B30</f>
        <v>ADC Noise Level (dBm)</v>
      </c>
      <c r="C176" s="33">
        <f>'General System Parameters'!C30</f>
        <v>-65</v>
      </c>
      <c r="F176" s="43"/>
      <c r="G176" s="43"/>
      <c r="H176" s="43"/>
      <c r="I176" s="43"/>
      <c r="J176" s="43"/>
      <c r="K176" s="43"/>
      <c r="L176" s="43"/>
      <c r="M176" s="43"/>
      <c r="N176" s="43"/>
      <c r="O176" s="43"/>
      <c r="P176" s="43"/>
      <c r="Q176" s="43"/>
      <c r="R176" s="43"/>
      <c r="S176" s="43"/>
    </row>
    <row r="177" spans="2:19" x14ac:dyDescent="0.2">
      <c r="B177" s="32" t="str">
        <f>'General System Parameters'!B31</f>
        <v>Tapering Signal Gain Loss (dB) - 1st Rx</v>
      </c>
      <c r="C177" s="33">
        <f>'General System Parameters'!C31</f>
        <v>3.51</v>
      </c>
      <c r="F177" s="43"/>
      <c r="G177" s="43"/>
      <c r="H177" s="43"/>
      <c r="I177" s="43"/>
      <c r="J177" s="43"/>
      <c r="K177" s="43"/>
      <c r="L177" s="43"/>
      <c r="M177" s="43"/>
      <c r="N177" s="43"/>
      <c r="O177" s="43"/>
      <c r="P177" s="43"/>
      <c r="Q177" s="43"/>
      <c r="R177" s="43"/>
      <c r="S177" s="43"/>
    </row>
    <row r="178" spans="2:19" x14ac:dyDescent="0.2">
      <c r="B178" s="32" t="str">
        <f>'General System Parameters'!B32</f>
        <v>Tapering Noise Gain Loss (dB) - 1st Rx</v>
      </c>
      <c r="C178" s="33">
        <f>'General System Parameters'!C32</f>
        <v>3.1337000000000002</v>
      </c>
      <c r="F178" s="43"/>
      <c r="G178" s="43"/>
      <c r="H178" s="43"/>
      <c r="I178" s="43"/>
      <c r="J178" s="43"/>
      <c r="K178" s="43"/>
      <c r="L178" s="43"/>
      <c r="M178" s="43"/>
      <c r="N178" s="43"/>
      <c r="O178" s="43"/>
      <c r="P178" s="43"/>
      <c r="Q178" s="43"/>
      <c r="R178" s="43"/>
      <c r="S178" s="43"/>
    </row>
    <row r="179" spans="2:19" x14ac:dyDescent="0.2">
      <c r="B179" s="32" t="str">
        <f>'General System Parameters'!B33</f>
        <v>Tapering Signal Gain Loss (dB) - Ref (Guard) Rx</v>
      </c>
      <c r="C179" s="33">
        <f>'General System Parameters'!C33</f>
        <v>0</v>
      </c>
      <c r="F179" s="43"/>
      <c r="G179" s="43"/>
      <c r="H179" s="43"/>
      <c r="I179" s="43"/>
      <c r="J179" s="43"/>
      <c r="K179" s="43"/>
      <c r="L179" s="43"/>
      <c r="M179" s="43"/>
      <c r="N179" s="43"/>
      <c r="O179" s="43"/>
      <c r="P179" s="43"/>
      <c r="Q179" s="43"/>
      <c r="R179" s="43"/>
      <c r="S179" s="43"/>
    </row>
    <row r="180" spans="2:19" x14ac:dyDescent="0.2">
      <c r="B180" s="32" t="str">
        <f>'General System Parameters'!B34</f>
        <v>Tapering Noise Gain Loss (dB) - Ref (Guard) Rx</v>
      </c>
      <c r="C180" s="33">
        <f>'General System Parameters'!C34</f>
        <v>0</v>
      </c>
      <c r="F180" s="43"/>
      <c r="G180" s="43"/>
      <c r="H180" s="43"/>
      <c r="I180" s="43"/>
      <c r="J180" s="43"/>
      <c r="K180" s="43"/>
      <c r="L180" s="43"/>
      <c r="M180" s="43"/>
      <c r="N180" s="43"/>
      <c r="O180" s="43"/>
      <c r="P180" s="43"/>
      <c r="Q180" s="43"/>
      <c r="R180" s="43"/>
      <c r="S180" s="43"/>
    </row>
    <row r="181" spans="2:19" x14ac:dyDescent="0.2">
      <c r="B181" s="37" t="str">
        <f>'General System Parameters'!B35</f>
        <v>Tapering Rx Loss (dB)</v>
      </c>
      <c r="C181" s="35">
        <f>'General System Parameters'!C35</f>
        <v>0.37629999999999963</v>
      </c>
      <c r="F181" s="43"/>
      <c r="G181" s="43"/>
      <c r="H181" s="43"/>
      <c r="I181" s="43"/>
      <c r="J181" s="43"/>
      <c r="K181" s="43"/>
      <c r="L181" s="43"/>
      <c r="M181" s="43"/>
      <c r="N181" s="43"/>
      <c r="O181" s="43"/>
      <c r="P181" s="43"/>
      <c r="Q181" s="43"/>
      <c r="R181" s="43"/>
      <c r="S181" s="43"/>
    </row>
    <row r="182" spans="2:19" x14ac:dyDescent="0.2">
      <c r="B182" s="30" t="str">
        <f>'General System Parameters'!B36</f>
        <v>Number of T/R modules</v>
      </c>
      <c r="C182" s="31">
        <f>'General System Parameters'!C36</f>
        <v>41</v>
      </c>
      <c r="F182" s="43"/>
      <c r="G182" s="43"/>
      <c r="H182" s="43"/>
      <c r="I182" s="43"/>
      <c r="J182" s="43"/>
      <c r="K182" s="43"/>
      <c r="L182" s="43"/>
      <c r="M182" s="43"/>
      <c r="N182" s="43"/>
      <c r="O182" s="43"/>
      <c r="P182" s="43"/>
      <c r="Q182" s="43"/>
      <c r="R182" s="43"/>
      <c r="S182" s="43"/>
    </row>
    <row r="183" spans="2:19" x14ac:dyDescent="0.2">
      <c r="B183" s="30" t="str">
        <f>'General System Parameters'!B37</f>
        <v>Power per T/R module</v>
      </c>
      <c r="C183" s="31">
        <f>'General System Parameters'!C37</f>
        <v>10</v>
      </c>
      <c r="F183" s="43"/>
      <c r="G183" s="43"/>
      <c r="H183" s="43"/>
      <c r="I183" s="43"/>
      <c r="J183" s="43"/>
      <c r="K183" s="43"/>
      <c r="L183" s="43"/>
      <c r="M183" s="43"/>
      <c r="N183" s="43"/>
      <c r="O183" s="43"/>
      <c r="P183" s="43"/>
      <c r="Q183" s="43"/>
      <c r="R183" s="43"/>
      <c r="S183" s="43"/>
    </row>
    <row r="184" spans="2:19" x14ac:dyDescent="0.2">
      <c r="B184" s="30" t="str">
        <f>'General System Parameters'!B38</f>
        <v>Gain per T/R module [dB]</v>
      </c>
      <c r="C184" s="31">
        <f>'General System Parameters'!C38</f>
        <v>5</v>
      </c>
      <c r="F184" s="43"/>
      <c r="G184" s="43"/>
      <c r="H184" s="43"/>
      <c r="I184" s="43"/>
      <c r="J184" s="43"/>
      <c r="K184" s="43"/>
      <c r="L184" s="43"/>
      <c r="M184" s="43"/>
      <c r="N184" s="43"/>
      <c r="O184" s="43"/>
      <c r="P184" s="43"/>
      <c r="Q184" s="43"/>
      <c r="R184" s="43"/>
      <c r="S184" s="43"/>
    </row>
    <row r="185" spans="2:19" x14ac:dyDescent="0.2">
      <c r="B185" s="37" t="str">
        <f>'General System Parameters'!B39</f>
        <v>Available Power (dBm)</v>
      </c>
      <c r="C185" s="35">
        <f>'General System Parameters'!C39</f>
        <v>56.127838567197358</v>
      </c>
      <c r="F185" s="43"/>
      <c r="G185" s="43"/>
      <c r="H185" s="43"/>
      <c r="I185" s="43"/>
      <c r="J185" s="43"/>
      <c r="K185" s="43"/>
      <c r="L185" s="43"/>
      <c r="M185" s="43"/>
      <c r="N185" s="43"/>
      <c r="O185" s="43"/>
      <c r="P185" s="43"/>
      <c r="Q185" s="43"/>
      <c r="R185" s="43"/>
      <c r="S185" s="43"/>
    </row>
    <row r="186" spans="2:19" x14ac:dyDescent="0.2">
      <c r="B186" s="37" t="str">
        <f>'General System Parameters'!B40</f>
        <v>Gt,Gr</v>
      </c>
      <c r="C186" s="35">
        <f>'General System Parameters'!C40</f>
        <v>21.127838567197355</v>
      </c>
      <c r="F186" s="43"/>
      <c r="G186" s="43"/>
      <c r="H186" s="43"/>
      <c r="I186" s="43"/>
      <c r="J186" s="43"/>
      <c r="K186" s="43"/>
      <c r="L186" s="43"/>
      <c r="M186" s="43"/>
      <c r="N186" s="43"/>
      <c r="O186" s="43"/>
      <c r="P186" s="43"/>
      <c r="Q186" s="43"/>
      <c r="R186" s="43"/>
      <c r="S186" s="43"/>
    </row>
    <row r="187" spans="2:19" x14ac:dyDescent="0.2">
      <c r="B187" s="37" t="str">
        <f>'General System Parameters'!B41</f>
        <v>Gr - 1st Rx</v>
      </c>
      <c r="C187" s="35">
        <f>'General System Parameters'!C41</f>
        <v>15</v>
      </c>
      <c r="F187" s="43"/>
      <c r="G187" s="43"/>
      <c r="H187" s="43"/>
      <c r="I187" s="43"/>
      <c r="J187" s="43"/>
      <c r="K187" s="43"/>
      <c r="L187" s="43"/>
      <c r="M187" s="43"/>
      <c r="N187" s="43"/>
      <c r="O187" s="43"/>
      <c r="P187" s="43"/>
      <c r="Q187" s="43"/>
      <c r="R187" s="43"/>
      <c r="S187" s="43"/>
    </row>
    <row r="188" spans="2:19" x14ac:dyDescent="0.2">
      <c r="B188" s="37" t="str">
        <f>'General System Parameters'!B42</f>
        <v>Gr - Ref (Guard) Rx</v>
      </c>
      <c r="C188" s="35">
        <f>'General System Parameters'!C42</f>
        <v>5</v>
      </c>
      <c r="F188" s="43"/>
      <c r="G188" s="43"/>
      <c r="H188" s="43"/>
      <c r="I188" s="43"/>
      <c r="J188" s="43"/>
      <c r="K188" s="43"/>
      <c r="L188" s="43"/>
      <c r="M188" s="43"/>
      <c r="N188" s="43"/>
      <c r="O188" s="43"/>
      <c r="P188" s="43"/>
      <c r="Q188" s="43"/>
      <c r="R188" s="43"/>
      <c r="S188" s="43"/>
    </row>
    <row r="189" spans="2:19" x14ac:dyDescent="0.2">
      <c r="B189" s="37" t="str">
        <f>'General System Parameters'!B43</f>
        <v>λ2 (dB/m2)</v>
      </c>
      <c r="C189" s="35">
        <f>'General System Parameters'!C43</f>
        <v>-21.344946828446961</v>
      </c>
      <c r="F189" s="43"/>
      <c r="G189" s="43"/>
      <c r="H189" s="43"/>
      <c r="I189" s="43"/>
      <c r="J189" s="43"/>
      <c r="K189" s="43"/>
      <c r="L189" s="43"/>
      <c r="M189" s="43"/>
      <c r="N189" s="43"/>
      <c r="O189" s="43"/>
      <c r="P189" s="43"/>
      <c r="Q189" s="43"/>
      <c r="R189" s="43"/>
      <c r="S189" s="43"/>
    </row>
    <row r="190" spans="2:19" x14ac:dyDescent="0.2">
      <c r="B190" s="34" t="str">
        <f>'General System Parameters'!B44</f>
        <v>(4p)^3 (dB)</v>
      </c>
      <c r="C190" s="35">
        <f>'General System Parameters'!C44</f>
        <v>32.976295920662885</v>
      </c>
      <c r="F190" s="43"/>
      <c r="G190" s="43"/>
      <c r="H190" s="43"/>
      <c r="I190" s="43"/>
      <c r="J190" s="43"/>
      <c r="K190" s="43"/>
      <c r="L190" s="43"/>
      <c r="M190" s="43"/>
      <c r="N190" s="43"/>
      <c r="O190" s="43"/>
      <c r="P190" s="43"/>
      <c r="Q190" s="43"/>
      <c r="R190" s="43"/>
      <c r="S190" s="43"/>
    </row>
    <row r="191" spans="2:19" x14ac:dyDescent="0.2">
      <c r="B191" s="34" t="str">
        <f>'General System Parameters'!B45</f>
        <v>Miscellaneous Losses (dB)</v>
      </c>
      <c r="C191" s="35">
        <f>'General System Parameters'!C45</f>
        <v>0</v>
      </c>
      <c r="F191" s="43"/>
      <c r="G191" s="43"/>
      <c r="H191" s="43"/>
      <c r="I191" s="43"/>
      <c r="J191" s="43"/>
      <c r="K191" s="43"/>
      <c r="L191" s="43"/>
      <c r="M191" s="43"/>
      <c r="N191" s="43"/>
      <c r="O191" s="43"/>
      <c r="P191" s="43"/>
      <c r="Q191" s="43"/>
      <c r="R191" s="43"/>
      <c r="S191" s="43"/>
    </row>
    <row r="192" spans="2:19" x14ac:dyDescent="0.2">
      <c r="B192" s="36" t="str">
        <f>'General System Parameters'!B46</f>
        <v>FFT Window: BH</v>
      </c>
      <c r="C192" s="31" t="str">
        <f>'General System Parameters'!C46</f>
        <v>BH</v>
      </c>
      <c r="F192" s="43"/>
      <c r="G192" s="43"/>
      <c r="H192" s="43"/>
      <c r="I192" s="43"/>
      <c r="J192" s="43"/>
      <c r="K192" s="43"/>
      <c r="L192" s="43"/>
      <c r="M192" s="43"/>
      <c r="N192" s="43"/>
      <c r="O192" s="43"/>
      <c r="P192" s="43"/>
      <c r="Q192" s="43"/>
      <c r="R192" s="43"/>
      <c r="S192" s="43"/>
    </row>
    <row r="193" spans="2:19" x14ac:dyDescent="0.2">
      <c r="B193" s="34" t="str">
        <f>'General System Parameters'!B47</f>
        <v>Signal Gain Loss (dB)</v>
      </c>
      <c r="C193" s="35">
        <f>'General System Parameters'!C47</f>
        <v>8.9499999999999993</v>
      </c>
      <c r="F193" s="43"/>
      <c r="G193" s="43"/>
      <c r="H193" s="43"/>
      <c r="I193" s="43"/>
      <c r="J193" s="43"/>
      <c r="K193" s="43"/>
      <c r="L193" s="43"/>
      <c r="M193" s="43"/>
      <c r="N193" s="43"/>
      <c r="O193" s="43"/>
      <c r="P193" s="43"/>
      <c r="Q193" s="43"/>
      <c r="R193" s="43"/>
      <c r="S193" s="43"/>
    </row>
    <row r="194" spans="2:19" x14ac:dyDescent="0.2">
      <c r="B194" s="34" t="str">
        <f>'General System Parameters'!B48</f>
        <v>Noise Gain Loss (dB)</v>
      </c>
      <c r="C194" s="35">
        <f>'General System Parameters'!C48</f>
        <v>5.9</v>
      </c>
      <c r="F194" s="43"/>
      <c r="G194" s="43"/>
      <c r="H194" s="43"/>
      <c r="I194" s="43"/>
      <c r="J194" s="43"/>
      <c r="K194" s="43"/>
      <c r="L194" s="43"/>
      <c r="M194" s="43"/>
      <c r="N194" s="43"/>
      <c r="O194" s="43"/>
      <c r="P194" s="43"/>
      <c r="Q194" s="43"/>
      <c r="R194" s="43"/>
      <c r="S194" s="43"/>
    </row>
    <row r="195" spans="2:19" x14ac:dyDescent="0.2">
      <c r="B195" s="34" t="str">
        <f>'General System Parameters'!B49</f>
        <v>Normalized ENBW (dB)</v>
      </c>
      <c r="C195" s="35">
        <f>'General System Parameters'!C49</f>
        <v>3.0499999999999989</v>
      </c>
      <c r="F195" s="43"/>
      <c r="G195" s="43"/>
      <c r="H195" s="43"/>
      <c r="I195" s="43"/>
      <c r="J195" s="43"/>
      <c r="K195" s="43"/>
      <c r="L195" s="43"/>
      <c r="M195" s="43"/>
      <c r="N195" s="43"/>
      <c r="O195" s="43"/>
      <c r="P195" s="43"/>
      <c r="Q195" s="43"/>
      <c r="R195" s="43"/>
      <c r="S195" s="43"/>
    </row>
    <row r="196" spans="2:19" x14ac:dyDescent="0.2">
      <c r="B196" s="34" t="str">
        <f>'General System Parameters'!B50</f>
        <v>Window 3dB BW (bins)</v>
      </c>
      <c r="C196" s="35">
        <f>'General System Parameters'!C50</f>
        <v>1.9</v>
      </c>
      <c r="F196" s="43"/>
      <c r="G196" s="43"/>
      <c r="H196" s="43"/>
      <c r="I196" s="43"/>
      <c r="J196" s="43"/>
      <c r="K196" s="43"/>
      <c r="L196" s="43"/>
      <c r="M196" s="43"/>
      <c r="N196" s="43"/>
      <c r="O196" s="43"/>
      <c r="P196" s="43"/>
      <c r="Q196" s="43"/>
      <c r="R196" s="43"/>
      <c r="S196" s="43"/>
    </row>
    <row r="197" spans="2:19" x14ac:dyDescent="0.2">
      <c r="B197" s="34" t="str">
        <f>'General System Parameters'!B51</f>
        <v>Window 6dB BW (bins)</v>
      </c>
      <c r="C197" s="35">
        <f>'General System Parameters'!C51</f>
        <v>2.72</v>
      </c>
      <c r="F197" s="43"/>
      <c r="G197" s="43"/>
      <c r="H197" s="43"/>
      <c r="I197" s="43"/>
      <c r="J197" s="43"/>
      <c r="K197" s="43"/>
      <c r="L197" s="43"/>
      <c r="M197" s="43"/>
      <c r="N197" s="43"/>
      <c r="O197" s="43"/>
      <c r="P197" s="43"/>
      <c r="Q197" s="43"/>
      <c r="R197" s="43"/>
      <c r="S197" s="43"/>
    </row>
    <row r="198" spans="2:19" x14ac:dyDescent="0.2">
      <c r="B198" s="34" t="str">
        <f>'General System Parameters'!B52</f>
        <v>Scallop Loss (dB)</v>
      </c>
      <c r="C198" s="35">
        <f>'General System Parameters'!C52</f>
        <v>0.41278500000000001</v>
      </c>
      <c r="F198" s="43"/>
      <c r="G198" s="43"/>
      <c r="H198" s="43"/>
      <c r="I198" s="43"/>
      <c r="J198" s="43"/>
      <c r="K198" s="43"/>
      <c r="L198" s="43"/>
      <c r="M198" s="43"/>
      <c r="N198" s="43"/>
      <c r="O198" s="43"/>
      <c r="P198" s="43"/>
      <c r="Q198" s="43"/>
      <c r="R198" s="43"/>
      <c r="S198" s="43"/>
    </row>
    <row r="199" spans="2:19" x14ac:dyDescent="0.2">
      <c r="B199" s="32" t="str">
        <f>'General System Parameters'!B53</f>
        <v>Rectangular 6dB BW (bins)</v>
      </c>
      <c r="C199" s="33">
        <f>'General System Parameters'!C53</f>
        <v>1.21</v>
      </c>
      <c r="F199" s="43"/>
      <c r="G199" s="43"/>
      <c r="H199" s="43"/>
      <c r="I199" s="43"/>
      <c r="J199" s="43"/>
      <c r="K199" s="43"/>
      <c r="L199" s="43"/>
      <c r="M199" s="43"/>
      <c r="N199" s="43"/>
      <c r="O199" s="43"/>
      <c r="P199" s="43"/>
      <c r="Q199" s="43"/>
      <c r="R199" s="43"/>
      <c r="S199" s="43"/>
    </row>
    <row r="200" spans="2:19" x14ac:dyDescent="0.2">
      <c r="B200" s="34" t="str">
        <f>'General System Parameters'!B54</f>
        <v>Window Peak Spreading (bins)</v>
      </c>
      <c r="C200" s="35">
        <f>'General System Parameters'!C54</f>
        <v>9</v>
      </c>
      <c r="F200" s="43"/>
      <c r="G200" s="43"/>
      <c r="H200" s="43"/>
      <c r="I200" s="43"/>
      <c r="J200" s="43"/>
      <c r="K200" s="43"/>
      <c r="L200" s="43"/>
      <c r="M200" s="43"/>
      <c r="N200" s="43"/>
      <c r="O200" s="43"/>
      <c r="P200" s="43"/>
      <c r="Q200" s="43"/>
      <c r="R200" s="43"/>
      <c r="S200" s="43"/>
    </row>
    <row r="201" spans="2:19" x14ac:dyDescent="0.2">
      <c r="B201" s="36" t="str">
        <f>'General System Parameters'!B55</f>
        <v>#samples for noise estimation</v>
      </c>
      <c r="C201" s="31">
        <f>'General System Parameters'!C55</f>
        <v>12</v>
      </c>
      <c r="F201" s="43"/>
      <c r="G201" s="43"/>
      <c r="H201" s="43"/>
      <c r="I201" s="43"/>
      <c r="J201" s="43"/>
      <c r="K201" s="43"/>
      <c r="L201" s="43"/>
      <c r="M201" s="43"/>
      <c r="N201" s="43"/>
      <c r="O201" s="43"/>
      <c r="P201" s="43"/>
      <c r="Q201" s="43"/>
      <c r="R201" s="43"/>
      <c r="S201" s="43"/>
    </row>
    <row r="202" spans="2:19" x14ac:dyDescent="0.2">
      <c r="B202" s="34" t="str">
        <f>'General System Parameters'!B56</f>
        <v>Straddling Loss (dB) - w/o OL</v>
      </c>
      <c r="C202" s="35">
        <f>'General System Parameters'!C56</f>
        <v>3</v>
      </c>
    </row>
    <row r="203" spans="2:19" x14ac:dyDescent="0.2">
      <c r="B203" s="34" t="str">
        <f>'General System Parameters'!B57</f>
        <v>Straddling Loss (dB) - with 50% OL</v>
      </c>
      <c r="C203" s="35">
        <f>'General System Parameters'!C57</f>
        <v>1.25</v>
      </c>
    </row>
    <row r="204" spans="2:19" x14ac:dyDescent="0.2">
      <c r="B204" s="30" t="str">
        <f>'General System Parameters'!B58</f>
        <v>Freq Desynchronization factor (ppb)</v>
      </c>
      <c r="C204" s="31">
        <f>'General System Parameters'!C58</f>
        <v>5</v>
      </c>
    </row>
    <row r="205" spans="2:19" x14ac:dyDescent="0.2">
      <c r="B205" s="34" t="str">
        <f>'General System Parameters'!B59</f>
        <v>Freq Desynchronization factor (Hz)</v>
      </c>
      <c r="C205" s="35">
        <f>'General System Parameters'!C59</f>
        <v>17.5</v>
      </c>
    </row>
    <row r="206" spans="2:19" x14ac:dyDescent="0.2">
      <c r="B206" s="34" t="str">
        <f>'General System Parameters'!B60</f>
        <v>Freq Desynchronization factor (m/s)</v>
      </c>
      <c r="C206" s="35">
        <f>'General System Parameters'!C60</f>
        <v>0.74948114500000007</v>
      </c>
    </row>
    <row r="207" spans="2:19" x14ac:dyDescent="0.2">
      <c r="B207" s="30" t="str">
        <f>'General System Parameters'!B61</f>
        <v>Time Desynchronization factor (ppm)</v>
      </c>
      <c r="C207" s="31">
        <f>'General System Parameters'!C61</f>
        <v>0.2</v>
      </c>
    </row>
    <row r="208" spans="2:19" x14ac:dyDescent="0.2">
      <c r="B208" s="30" t="str">
        <f>'General System Parameters'!B62</f>
        <v>Synchronization window per seq (μs)</v>
      </c>
      <c r="C208" s="31">
        <f>'General System Parameters'!C62</f>
        <v>0.1</v>
      </c>
    </row>
    <row r="209" spans="2:3" x14ac:dyDescent="0.2">
      <c r="B209" s="117" t="str">
        <f>'General System Parameters'!B63</f>
        <v>#RG in Optimized Mode (one side)</v>
      </c>
      <c r="C209" s="118">
        <f>'General System Parameters'!C63</f>
        <v>7</v>
      </c>
    </row>
    <row r="210" spans="2:3" x14ac:dyDescent="0.2">
      <c r="B210" s="30" t="str">
        <f>'General System Parameters'!B64</f>
        <v>Total #RG in Optimized Mode</v>
      </c>
      <c r="C210" s="31">
        <f>'General System Parameters'!C64</f>
        <v>15</v>
      </c>
    </row>
  </sheetData>
  <mergeCells count="4">
    <mergeCell ref="B150:D150"/>
    <mergeCell ref="C1:D1"/>
    <mergeCell ref="E1:T1"/>
    <mergeCell ref="B145:D145"/>
  </mergeCells>
  <conditionalFormatting sqref="C61:D61">
    <cfRule type="cellIs" dxfId="45" priority="3" operator="greaterThan">
      <formula>3</formula>
    </cfRule>
  </conditionalFormatting>
  <conditionalFormatting sqref="C49">
    <cfRule type="cellIs" dxfId="44" priority="2" operator="greaterThan">
      <formula>"2&amp;&amp;$C$57&gt;$C$58"</formula>
    </cfRule>
  </conditionalFormatting>
  <conditionalFormatting sqref="C59">
    <cfRule type="expression" dxfId="43" priority="1">
      <formula>AND($C$61 &gt; $C$52, $C$51&gt;1)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Z210"/>
  <sheetViews>
    <sheetView topLeftCell="A4" workbookViewId="0">
      <selection activeCell="J30" sqref="J30"/>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35" t="str">
        <f>'Parameters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'Parameters List'!B4</f>
        <v>Antenna Number (1 or 2)</v>
      </c>
      <c r="C4" s="49"/>
      <c r="D4" s="49"/>
      <c r="E4" s="50">
        <v>1</v>
      </c>
      <c r="F4" s="50">
        <v>1</v>
      </c>
      <c r="G4" s="50">
        <v>1</v>
      </c>
      <c r="H4" s="50">
        <v>1</v>
      </c>
      <c r="I4" s="50">
        <v>1</v>
      </c>
      <c r="J4" s="50">
        <v>1</v>
      </c>
      <c r="K4" s="50">
        <v>1</v>
      </c>
      <c r="L4" s="50">
        <v>1</v>
      </c>
      <c r="M4" s="50">
        <v>1</v>
      </c>
      <c r="N4" s="50">
        <v>1</v>
      </c>
      <c r="O4" s="50">
        <v>1</v>
      </c>
      <c r="P4" s="50">
        <v>1</v>
      </c>
      <c r="Q4" s="50">
        <v>1</v>
      </c>
      <c r="R4" s="50">
        <v>1</v>
      </c>
      <c r="S4" s="50">
        <v>1</v>
      </c>
      <c r="T4" s="50">
        <v>1</v>
      </c>
      <c r="U4" s="50">
        <v>1</v>
      </c>
      <c r="V4" s="50">
        <v>1</v>
      </c>
      <c r="W4" s="50">
        <v>1</v>
      </c>
      <c r="X4" s="50">
        <v>1</v>
      </c>
      <c r="Y4" s="50">
        <v>1</v>
      </c>
      <c r="Z4" s="50">
        <v>1</v>
      </c>
      <c r="AA4" s="50">
        <v>1</v>
      </c>
      <c r="AB4" s="50">
        <v>1</v>
      </c>
      <c r="AC4" s="50">
        <v>1</v>
      </c>
      <c r="AD4" s="50">
        <v>1</v>
      </c>
      <c r="AE4" s="50">
        <v>1</v>
      </c>
      <c r="AF4" s="50">
        <v>1</v>
      </c>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'Parameters List'!B5</f>
        <v>Steer Az (clockwise - positive)</v>
      </c>
      <c r="C5" s="49"/>
      <c r="D5" s="49"/>
      <c r="E5" s="50">
        <v>-42</v>
      </c>
      <c r="F5" s="50">
        <v>-30</v>
      </c>
      <c r="G5" s="50">
        <v>-18</v>
      </c>
      <c r="H5" s="50">
        <v>-6</v>
      </c>
      <c r="I5" s="50">
        <v>6</v>
      </c>
      <c r="J5" s="50">
        <v>18</v>
      </c>
      <c r="K5" s="50">
        <v>30</v>
      </c>
      <c r="L5" s="50">
        <v>42</v>
      </c>
      <c r="M5" s="50">
        <v>-42</v>
      </c>
      <c r="N5" s="50">
        <v>-27</v>
      </c>
      <c r="O5" s="50">
        <v>-14</v>
      </c>
      <c r="P5" s="50">
        <v>-1</v>
      </c>
      <c r="Q5" s="50">
        <v>11</v>
      </c>
      <c r="R5" s="50">
        <v>24</v>
      </c>
      <c r="S5" s="50">
        <v>39</v>
      </c>
      <c r="T5" s="50">
        <v>-38</v>
      </c>
      <c r="U5" s="50">
        <v>-24</v>
      </c>
      <c r="V5" s="50">
        <v>-11</v>
      </c>
      <c r="W5" s="50">
        <v>2</v>
      </c>
      <c r="X5" s="50">
        <v>15</v>
      </c>
      <c r="Y5" s="50">
        <v>28</v>
      </c>
      <c r="Z5" s="50">
        <v>42</v>
      </c>
      <c r="AA5" s="50">
        <v>-40</v>
      </c>
      <c r="AB5" s="50">
        <v>-24</v>
      </c>
      <c r="AC5" s="50">
        <v>-8</v>
      </c>
      <c r="AD5" s="50">
        <v>8</v>
      </c>
      <c r="AE5" s="50">
        <v>24</v>
      </c>
      <c r="AF5" s="50">
        <v>40</v>
      </c>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'Parameters List'!B6</f>
        <v>Steer El (up - positive)</v>
      </c>
      <c r="C6" s="49"/>
      <c r="D6" s="49"/>
      <c r="E6" s="50">
        <v>6</v>
      </c>
      <c r="F6" s="50">
        <v>6</v>
      </c>
      <c r="G6" s="50">
        <v>6</v>
      </c>
      <c r="H6" s="50">
        <v>6</v>
      </c>
      <c r="I6" s="50">
        <v>6</v>
      </c>
      <c r="J6" s="50">
        <v>6</v>
      </c>
      <c r="K6" s="50">
        <v>6</v>
      </c>
      <c r="L6" s="50">
        <v>6</v>
      </c>
      <c r="M6" s="50">
        <v>17</v>
      </c>
      <c r="N6" s="50">
        <v>17</v>
      </c>
      <c r="O6" s="50">
        <v>17</v>
      </c>
      <c r="P6" s="50">
        <v>17</v>
      </c>
      <c r="Q6" s="50">
        <v>17</v>
      </c>
      <c r="R6" s="50">
        <v>17</v>
      </c>
      <c r="S6" s="50">
        <v>17</v>
      </c>
      <c r="T6" s="50">
        <v>28</v>
      </c>
      <c r="U6" s="50">
        <v>28</v>
      </c>
      <c r="V6" s="50">
        <v>28</v>
      </c>
      <c r="W6" s="50">
        <v>28</v>
      </c>
      <c r="X6" s="50">
        <v>28</v>
      </c>
      <c r="Y6" s="50">
        <v>28</v>
      </c>
      <c r="Z6" s="50">
        <v>28</v>
      </c>
      <c r="AA6" s="50">
        <v>40</v>
      </c>
      <c r="AB6" s="50">
        <v>40</v>
      </c>
      <c r="AC6" s="50">
        <v>40</v>
      </c>
      <c r="AD6" s="50">
        <v>40</v>
      </c>
      <c r="AE6" s="50">
        <v>40</v>
      </c>
      <c r="AF6" s="50">
        <v>40</v>
      </c>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'Parameters List'!B9</f>
        <v>Antenna Number (1 or 2)</v>
      </c>
      <c r="C9" s="49"/>
      <c r="D9" s="49"/>
      <c r="E9" s="50">
        <v>1</v>
      </c>
      <c r="F9" s="50">
        <v>1</v>
      </c>
      <c r="G9" s="50">
        <v>1</v>
      </c>
      <c r="H9" s="50">
        <v>1</v>
      </c>
      <c r="I9" s="50">
        <v>1</v>
      </c>
      <c r="J9" s="50">
        <v>1</v>
      </c>
      <c r="K9" s="50">
        <v>1</v>
      </c>
      <c r="L9" s="50">
        <v>1</v>
      </c>
      <c r="M9" s="50">
        <v>1</v>
      </c>
      <c r="N9" s="50">
        <v>1</v>
      </c>
      <c r="O9" s="50">
        <v>1</v>
      </c>
      <c r="P9" s="50">
        <v>1</v>
      </c>
      <c r="Q9" s="50">
        <v>1</v>
      </c>
      <c r="R9" s="50">
        <v>1</v>
      </c>
      <c r="S9" s="50">
        <v>1</v>
      </c>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'Parameters List'!B10</f>
        <v>Steer Az (clockwise - positive)</v>
      </c>
      <c r="C10" s="49"/>
      <c r="D10" s="49"/>
      <c r="E10" s="50">
        <v>-42</v>
      </c>
      <c r="F10" s="50">
        <v>-30</v>
      </c>
      <c r="G10" s="50">
        <v>-18</v>
      </c>
      <c r="H10" s="50">
        <v>-6</v>
      </c>
      <c r="I10" s="50">
        <v>6</v>
      </c>
      <c r="J10" s="50">
        <v>18</v>
      </c>
      <c r="K10" s="50">
        <v>30</v>
      </c>
      <c r="L10" s="50">
        <v>42</v>
      </c>
      <c r="M10" s="50">
        <v>-42</v>
      </c>
      <c r="N10" s="50">
        <v>-27</v>
      </c>
      <c r="O10" s="50">
        <v>-14</v>
      </c>
      <c r="P10" s="50">
        <v>-1</v>
      </c>
      <c r="Q10" s="50">
        <v>11</v>
      </c>
      <c r="R10" s="50">
        <v>24</v>
      </c>
      <c r="S10" s="50">
        <v>39</v>
      </c>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'Parameters List'!B11</f>
        <v>Steer El (up - positive)</v>
      </c>
      <c r="C11" s="49"/>
      <c r="D11" s="49"/>
      <c r="E11" s="50">
        <v>6</v>
      </c>
      <c r="F11" s="50">
        <v>6</v>
      </c>
      <c r="G11" s="50">
        <v>6</v>
      </c>
      <c r="H11" s="50">
        <v>6</v>
      </c>
      <c r="I11" s="50">
        <v>6</v>
      </c>
      <c r="J11" s="50">
        <v>6</v>
      </c>
      <c r="K11" s="50">
        <v>6</v>
      </c>
      <c r="L11" s="50">
        <v>6</v>
      </c>
      <c r="M11" s="50">
        <v>17</v>
      </c>
      <c r="N11" s="50">
        <v>17</v>
      </c>
      <c r="O11" s="50">
        <v>17</v>
      </c>
      <c r="P11" s="50">
        <v>17</v>
      </c>
      <c r="Q11" s="50">
        <v>17</v>
      </c>
      <c r="R11" s="50">
        <v>17</v>
      </c>
      <c r="S11" s="50">
        <v>17</v>
      </c>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'Parameters List'!B13</f>
        <v>Processing Channel Number (1 or 2)</v>
      </c>
      <c r="C13" s="49"/>
      <c r="D13" s="49"/>
      <c r="E13" s="33">
        <v>1</v>
      </c>
      <c r="F13" s="33">
        <v>1</v>
      </c>
      <c r="G13" s="33">
        <v>1</v>
      </c>
      <c r="H13" s="33">
        <v>1</v>
      </c>
      <c r="I13" s="33">
        <v>1</v>
      </c>
      <c r="J13" s="33">
        <v>1</v>
      </c>
      <c r="K13" s="33">
        <v>1</v>
      </c>
      <c r="L13" s="33">
        <v>1</v>
      </c>
      <c r="M13" s="33">
        <v>1</v>
      </c>
      <c r="N13" s="33">
        <v>1</v>
      </c>
      <c r="O13" s="33">
        <v>1</v>
      </c>
      <c r="P13" s="33">
        <v>1</v>
      </c>
      <c r="Q13" s="33">
        <v>1</v>
      </c>
      <c r="R13" s="33">
        <v>1</v>
      </c>
      <c r="S13" s="33">
        <v>2</v>
      </c>
      <c r="T13" s="33">
        <v>2</v>
      </c>
      <c r="U13" s="33">
        <v>2</v>
      </c>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'Parameters List'!B14</f>
        <v>Beam type (relative to processing channel)</v>
      </c>
      <c r="C14" s="49"/>
      <c r="D14" s="49"/>
      <c r="E14" s="33">
        <v>1</v>
      </c>
      <c r="F14" s="33">
        <v>2</v>
      </c>
      <c r="G14" s="33">
        <v>3</v>
      </c>
      <c r="H14" s="33">
        <v>4</v>
      </c>
      <c r="I14" s="33">
        <v>5</v>
      </c>
      <c r="J14" s="33">
        <v>6</v>
      </c>
      <c r="K14" s="33">
        <v>7</v>
      </c>
      <c r="L14" s="33">
        <v>8</v>
      </c>
      <c r="M14" s="33">
        <v>9</v>
      </c>
      <c r="N14" s="33">
        <v>10</v>
      </c>
      <c r="O14" s="33">
        <v>11</v>
      </c>
      <c r="P14" s="33">
        <v>12</v>
      </c>
      <c r="Q14" s="33">
        <v>13</v>
      </c>
      <c r="R14" s="33">
        <v>14</v>
      </c>
      <c r="S14" s="33">
        <v>1</v>
      </c>
      <c r="T14" s="33">
        <v>2</v>
      </c>
      <c r="U14" s="33">
        <v>3</v>
      </c>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'Parameters List'!B15</f>
        <v>Stagger number (1 or 2)</v>
      </c>
      <c r="C15" s="58"/>
      <c r="D15" s="58"/>
      <c r="E15" s="33">
        <v>1</v>
      </c>
      <c r="F15" s="33">
        <v>1</v>
      </c>
      <c r="G15" s="33">
        <v>1</v>
      </c>
      <c r="H15" s="33">
        <v>1</v>
      </c>
      <c r="I15" s="33">
        <v>1</v>
      </c>
      <c r="J15" s="33">
        <v>1</v>
      </c>
      <c r="K15" s="33">
        <v>1</v>
      </c>
      <c r="L15" s="33">
        <v>1</v>
      </c>
      <c r="M15" s="33">
        <v>1</v>
      </c>
      <c r="N15" s="33">
        <v>1</v>
      </c>
      <c r="O15" s="33">
        <v>1</v>
      </c>
      <c r="P15" s="33">
        <v>1</v>
      </c>
      <c r="Q15" s="33">
        <v>1</v>
      </c>
      <c r="R15" s="33">
        <v>1</v>
      </c>
      <c r="S15" s="33">
        <v>1</v>
      </c>
      <c r="T15" s="33">
        <v>1</v>
      </c>
      <c r="U15" s="33">
        <v>1</v>
      </c>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'Parameters List'!B16</f>
        <v>Receiving Patch Group (1 or 2)</v>
      </c>
      <c r="C16" s="58"/>
      <c r="D16" s="58"/>
      <c r="E16" s="33">
        <v>1</v>
      </c>
      <c r="F16" s="33">
        <v>1</v>
      </c>
      <c r="G16" s="33">
        <v>1</v>
      </c>
      <c r="H16" s="33">
        <v>1</v>
      </c>
      <c r="I16" s="33">
        <v>1</v>
      </c>
      <c r="J16" s="33">
        <v>1</v>
      </c>
      <c r="K16" s="33">
        <v>1</v>
      </c>
      <c r="L16" s="33">
        <v>1</v>
      </c>
      <c r="M16" s="33">
        <v>1</v>
      </c>
      <c r="N16" s="33">
        <v>1</v>
      </c>
      <c r="O16" s="33">
        <v>1</v>
      </c>
      <c r="P16" s="33">
        <v>1</v>
      </c>
      <c r="Q16" s="33">
        <v>1</v>
      </c>
      <c r="R16" s="33">
        <v>1</v>
      </c>
      <c r="S16" s="33">
        <v>1</v>
      </c>
      <c r="T16" s="33">
        <v>1</v>
      </c>
      <c r="U16" s="33">
        <v>1</v>
      </c>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'Parameters List'!B17</f>
        <v>Tracking (0 or 1)</v>
      </c>
      <c r="C17" s="58"/>
      <c r="D17" s="58"/>
      <c r="E17" s="33">
        <v>0</v>
      </c>
      <c r="F17" s="33">
        <v>0</v>
      </c>
      <c r="G17" s="33">
        <v>0</v>
      </c>
      <c r="H17" s="33">
        <v>0</v>
      </c>
      <c r="I17" s="33">
        <v>0</v>
      </c>
      <c r="J17" s="33">
        <v>0</v>
      </c>
      <c r="K17" s="33">
        <v>0</v>
      </c>
      <c r="L17" s="33">
        <v>0</v>
      </c>
      <c r="M17" s="33">
        <v>0</v>
      </c>
      <c r="N17" s="33">
        <v>0</v>
      </c>
      <c r="O17" s="33">
        <v>0</v>
      </c>
      <c r="P17" s="33">
        <v>0</v>
      </c>
      <c r="Q17" s="33">
        <v>0</v>
      </c>
      <c r="R17" s="33">
        <v>0</v>
      </c>
      <c r="S17" s="33">
        <v>0</v>
      </c>
      <c r="T17" s="33">
        <v>0</v>
      </c>
      <c r="U17" s="33">
        <v>0</v>
      </c>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'Parameters List'!B18</f>
        <v>Stagger PRI Sequence (Chip Units)</v>
      </c>
      <c r="C18" s="58"/>
      <c r="D18" s="58"/>
      <c r="E18" s="123">
        <f t="shared" ref="E18:AJ18" si="0">IF(E$13=1, (E$14-1)*$C$31,IF(E$13=2,((E$14-1)*$D$31),""))</f>
        <v>0</v>
      </c>
      <c r="F18" s="123">
        <f t="shared" si="0"/>
        <v>1</v>
      </c>
      <c r="G18" s="123">
        <f t="shared" si="0"/>
        <v>2</v>
      </c>
      <c r="H18" s="123">
        <f t="shared" si="0"/>
        <v>3</v>
      </c>
      <c r="I18" s="123">
        <f t="shared" si="0"/>
        <v>4</v>
      </c>
      <c r="J18" s="123">
        <f t="shared" si="0"/>
        <v>5</v>
      </c>
      <c r="K18" s="123">
        <f t="shared" si="0"/>
        <v>6</v>
      </c>
      <c r="L18" s="123">
        <f t="shared" si="0"/>
        <v>7</v>
      </c>
      <c r="M18" s="123">
        <f t="shared" si="0"/>
        <v>8</v>
      </c>
      <c r="N18" s="123">
        <f t="shared" si="0"/>
        <v>9</v>
      </c>
      <c r="O18" s="123">
        <f t="shared" si="0"/>
        <v>10</v>
      </c>
      <c r="P18" s="123">
        <f t="shared" si="0"/>
        <v>11</v>
      </c>
      <c r="Q18" s="123">
        <f t="shared" si="0"/>
        <v>12</v>
      </c>
      <c r="R18" s="123">
        <f t="shared" si="0"/>
        <v>13</v>
      </c>
      <c r="S18" s="123">
        <f t="shared" si="0"/>
        <v>0</v>
      </c>
      <c r="T18" s="123">
        <f t="shared" si="0"/>
        <v>1</v>
      </c>
      <c r="U18" s="123">
        <f t="shared" si="0"/>
        <v>2</v>
      </c>
      <c r="V18" s="123" t="str">
        <f t="shared" si="0"/>
        <v/>
      </c>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CONCATENATE('XML File Parameters'!D2," XMLver",'XML File Parameters'!D3,".",'XML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'Parameters List'!B21</f>
        <v>Apply RG Optimization</v>
      </c>
      <c r="C21" s="64"/>
      <c r="D21" s="64"/>
      <c r="F21" s="43"/>
      <c r="G21" s="43"/>
      <c r="H21" s="43">
        <v>4</v>
      </c>
      <c r="I21" s="43"/>
      <c r="J21" s="43"/>
      <c r="K21" s="43"/>
      <c r="L21" s="43"/>
      <c r="M21" s="43"/>
      <c r="N21" s="43"/>
      <c r="O21" s="43"/>
      <c r="P21" s="43"/>
      <c r="Q21" s="43"/>
      <c r="R21" s="43"/>
      <c r="S21" s="43"/>
    </row>
    <row r="22" spans="1:78" x14ac:dyDescent="0.2">
      <c r="A22" s="91" t="s">
        <v>78</v>
      </c>
      <c r="B22" s="104" t="str">
        <f>'Parameters List'!B22</f>
        <v>Sequential Repetition</v>
      </c>
      <c r="C22" s="64">
        <v>2</v>
      </c>
      <c r="D22" s="64">
        <v>5</v>
      </c>
      <c r="E22" s="6">
        <f>C22*C30</f>
        <v>133.27360000000002</v>
      </c>
      <c r="F22" s="6">
        <f>D22*D30</f>
        <v>333.18400000000003</v>
      </c>
      <c r="G22" s="43"/>
      <c r="H22" s="43">
        <f>C30*H21+'General System Parameters'!C4*MAX(Track1!C30,Track2!C30)</f>
        <v>349.69600000000003</v>
      </c>
      <c r="I22" s="43"/>
      <c r="J22" s="43">
        <f>D22/H21*'General System Parameters'!C5</f>
        <v>0.4</v>
      </c>
      <c r="K22" s="43"/>
      <c r="L22" s="43"/>
      <c r="M22" s="43"/>
      <c r="N22" s="43"/>
      <c r="O22" s="43"/>
      <c r="P22" s="43"/>
      <c r="Q22" s="43"/>
      <c r="R22" s="43"/>
      <c r="S22" s="43"/>
    </row>
    <row r="23" spans="1:78" x14ac:dyDescent="0.2">
      <c r="A23" s="91" t="s">
        <v>78</v>
      </c>
      <c r="B23" s="104" t="str">
        <f>'Parameters List'!B23</f>
        <v>Max Dets to process</v>
      </c>
      <c r="C23" s="64">
        <v>256</v>
      </c>
      <c r="D23" s="64">
        <v>256</v>
      </c>
      <c r="E23" s="65"/>
      <c r="F23" s="43"/>
      <c r="G23" s="43"/>
      <c r="H23" s="43"/>
      <c r="I23" s="43"/>
      <c r="J23" s="43"/>
      <c r="K23" s="43"/>
      <c r="L23" s="43"/>
      <c r="M23" s="43"/>
      <c r="N23" s="43"/>
      <c r="O23" s="43"/>
      <c r="P23" s="43"/>
      <c r="Q23" s="43"/>
      <c r="R23" s="43"/>
      <c r="S23" s="43"/>
    </row>
    <row r="24" spans="1:78" x14ac:dyDescent="0.2">
      <c r="A24" s="91"/>
      <c r="B24" s="95" t="str">
        <f>'Parameters List'!B24</f>
        <v>Number of Steers</v>
      </c>
      <c r="C24" s="33">
        <f>COUNTIF(E$4:BP$4,"&gt;0")</f>
        <v>28</v>
      </c>
      <c r="D24" s="33">
        <f>COUNTIF(E$9:BP$9,"&gt;0")</f>
        <v>15</v>
      </c>
      <c r="E24" s="65"/>
      <c r="F24" s="43"/>
      <c r="G24" s="43"/>
      <c r="H24" s="43"/>
      <c r="I24" s="43"/>
      <c r="J24" s="43"/>
      <c r="K24" s="43"/>
      <c r="L24" s="43"/>
      <c r="M24" s="43"/>
      <c r="N24" s="43"/>
      <c r="O24" s="43"/>
      <c r="P24" s="43"/>
      <c r="Q24" s="43"/>
      <c r="R24" s="43"/>
      <c r="S24" s="43"/>
    </row>
    <row r="25" spans="1:78" x14ac:dyDescent="0.2">
      <c r="A25" s="91"/>
      <c r="B25" s="95" t="str">
        <f>'Parameters List'!B25</f>
        <v>Number of Beam Types</v>
      </c>
      <c r="C25" s="33">
        <f>COUNTIFS($E$13:$AJ$13,"=1",$E$15:$AJ$15,"=1")</f>
        <v>14</v>
      </c>
      <c r="D25" s="33">
        <f>COUNTIFS($E$13:$AJ$13,"=2",$E$15:$AJ$15,"=1")</f>
        <v>3</v>
      </c>
      <c r="E25" s="65"/>
      <c r="F25" s="43"/>
      <c r="G25" s="43"/>
      <c r="H25" s="43"/>
      <c r="I25" s="43"/>
      <c r="J25" s="43"/>
      <c r="K25" s="43"/>
      <c r="L25" s="43"/>
      <c r="M25" s="43"/>
      <c r="N25" s="43"/>
      <c r="O25" s="43"/>
      <c r="P25" s="43"/>
      <c r="Q25" s="43"/>
      <c r="R25" s="43"/>
      <c r="S25" s="43"/>
    </row>
    <row r="26" spans="1:78" x14ac:dyDescent="0.2">
      <c r="A26" s="91"/>
      <c r="B26" s="95" t="str">
        <f>'Parameters List'!B26</f>
        <v>Number of Beams</v>
      </c>
      <c r="C26" s="33">
        <f>COUNTIF($E$13:$AJ$13,"=1")</f>
        <v>14</v>
      </c>
      <c r="D26" s="33">
        <f>COUNTIF($E$13:$AJ$13,"=2")</f>
        <v>3</v>
      </c>
      <c r="E26" s="65"/>
      <c r="F26" s="43"/>
      <c r="G26" s="43"/>
      <c r="H26" s="43"/>
      <c r="I26" s="43"/>
      <c r="J26" s="43"/>
      <c r="K26" s="43"/>
      <c r="L26" s="43"/>
      <c r="M26" s="43"/>
      <c r="N26" s="43"/>
      <c r="O26" s="43"/>
      <c r="P26" s="43"/>
      <c r="Q26" s="43"/>
      <c r="R26" s="43"/>
      <c r="S26" s="43"/>
    </row>
    <row r="27" spans="1:78" x14ac:dyDescent="0.2">
      <c r="A27" s="91"/>
      <c r="B27" s="95" t="str">
        <f>'Parameters List'!B27</f>
        <v>Number of Beams at Antenna1</v>
      </c>
      <c r="C27" s="33">
        <f>IF(COUNTIF($E$4:$BP$4,"=1")&gt;=C$25,C$26,COUNTIF($E$4:$BP$4,"=1")*C$26/C$25)</f>
        <v>14</v>
      </c>
      <c r="D27" s="33">
        <f>IF(COUNTIF($E$9:$BP$9,"=1")&gt;=D$25,D$26,COUNTIF($E$9:$BP$9,"=1")*D$26/D$25)</f>
        <v>3</v>
      </c>
      <c r="E27" s="65"/>
      <c r="F27" s="43"/>
      <c r="G27" s="43"/>
      <c r="H27" s="43"/>
      <c r="I27" s="43"/>
      <c r="J27" s="43"/>
      <c r="K27" s="43"/>
      <c r="L27" s="43"/>
      <c r="M27" s="43"/>
      <c r="N27" s="43"/>
      <c r="O27" s="43"/>
      <c r="P27" s="43"/>
      <c r="Q27" s="43"/>
      <c r="R27" s="43"/>
      <c r="S27" s="43"/>
    </row>
    <row r="28" spans="1:78" x14ac:dyDescent="0.2">
      <c r="A28" s="91"/>
      <c r="B28" s="95" t="str">
        <f>'Parameters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'Parameters List'!B29</f>
        <v>Desired CPI (ms)</v>
      </c>
      <c r="C29" s="64">
        <v>67</v>
      </c>
      <c r="D29" s="64">
        <v>67</v>
      </c>
      <c r="G29" s="43"/>
      <c r="H29" s="43"/>
      <c r="I29" s="43"/>
      <c r="J29" s="43"/>
      <c r="K29" s="43"/>
      <c r="L29" s="43"/>
      <c r="M29" s="43"/>
      <c r="N29" s="43"/>
      <c r="O29" s="43"/>
      <c r="P29" s="43"/>
      <c r="Q29" s="43"/>
      <c r="R29" s="43"/>
      <c r="S29" s="43"/>
    </row>
    <row r="30" spans="1:78" x14ac:dyDescent="0.2">
      <c r="A30" s="91" t="s">
        <v>78</v>
      </c>
      <c r="B30" s="95" t="str">
        <f>'Parameters List'!B30</f>
        <v>Actual CPI (ms)</v>
      </c>
      <c r="C30" s="33">
        <f>(C$49*$C$104*C$51)/1000</f>
        <v>66.636800000000008</v>
      </c>
      <c r="D30" s="33">
        <f>(D$49*$C$104*D$51)/1000</f>
        <v>66.636800000000008</v>
      </c>
      <c r="F30" s="43"/>
      <c r="G30" s="43"/>
      <c r="H30" s="43"/>
      <c r="I30" s="43"/>
      <c r="J30" s="43"/>
      <c r="K30" s="43"/>
      <c r="L30" s="43"/>
      <c r="M30" s="43"/>
      <c r="N30" s="43"/>
      <c r="O30" s="43"/>
      <c r="P30" s="43"/>
      <c r="Q30" s="43"/>
      <c r="R30" s="43"/>
      <c r="S30" s="43"/>
    </row>
    <row r="31" spans="1:78" x14ac:dyDescent="0.2">
      <c r="A31" s="91" t="s">
        <v>78</v>
      </c>
      <c r="B31" s="94" t="str">
        <f>'Parameters List'!B31</f>
        <v>Multi Stagger - PRI Ext (in Chip Units)</v>
      </c>
      <c r="C31" s="64">
        <v>1</v>
      </c>
      <c r="D31" s="64">
        <v>1</v>
      </c>
      <c r="E31" s="65"/>
      <c r="F31" s="119"/>
      <c r="G31" s="43"/>
      <c r="H31" s="43"/>
      <c r="I31" s="43"/>
      <c r="J31" s="43"/>
      <c r="K31" s="43"/>
      <c r="L31" s="43"/>
      <c r="M31" s="43"/>
      <c r="N31" s="43"/>
      <c r="O31" s="43"/>
      <c r="P31" s="43"/>
      <c r="Q31" s="43"/>
      <c r="R31" s="43"/>
      <c r="S31" s="43"/>
    </row>
    <row r="32" spans="1:78" x14ac:dyDescent="0.2">
      <c r="A32" s="91" t="s">
        <v>78</v>
      </c>
      <c r="B32" s="94" t="str">
        <f>'Parameters List'!B32</f>
        <v>Stagger1 PRI (µs)</v>
      </c>
      <c r="C32" s="64">
        <v>8.5</v>
      </c>
      <c r="D32" s="64">
        <v>40.5</v>
      </c>
      <c r="F32" s="43"/>
      <c r="G32" s="43"/>
      <c r="H32" s="43"/>
      <c r="I32" s="43"/>
      <c r="J32" s="43"/>
      <c r="K32" s="43"/>
      <c r="L32" s="43"/>
      <c r="M32" s="43"/>
      <c r="N32" s="43"/>
      <c r="O32" s="43"/>
      <c r="P32" s="43"/>
      <c r="Q32" s="43"/>
      <c r="R32" s="43"/>
      <c r="S32" s="43"/>
    </row>
    <row r="33" spans="1:19" x14ac:dyDescent="0.2">
      <c r="A33" s="91" t="s">
        <v>78</v>
      </c>
      <c r="B33" s="94" t="str">
        <f>'Parameters List'!B33</f>
        <v>Stagger2 PRI (µs)</v>
      </c>
      <c r="C33" s="64">
        <v>0</v>
      </c>
      <c r="D33" s="64">
        <v>0</v>
      </c>
      <c r="F33" s="43"/>
      <c r="G33" s="43"/>
      <c r="H33" s="43"/>
      <c r="I33" s="43"/>
      <c r="J33" s="43"/>
      <c r="K33" s="43"/>
      <c r="L33" s="43"/>
      <c r="M33" s="43"/>
      <c r="N33" s="43"/>
      <c r="O33" s="43"/>
      <c r="P33" s="43"/>
      <c r="Q33" s="43"/>
      <c r="R33" s="43"/>
      <c r="S33" s="43"/>
    </row>
    <row r="34" spans="1:19" x14ac:dyDescent="0.2">
      <c r="A34" s="91" t="s">
        <v>81</v>
      </c>
      <c r="B34" s="95" t="str">
        <f>'Parameters List'!B34</f>
        <v>Number of Staggers (1 or 2)</v>
      </c>
      <c r="C34" s="67">
        <f>1*(C$32&lt;&gt;0)+1*(C$33&lt;&gt;0)</f>
        <v>1</v>
      </c>
      <c r="D34" s="67">
        <f>1*(D$32&lt;&gt;0)+1*(D$33&lt;&gt;0)</f>
        <v>1</v>
      </c>
      <c r="F34" s="43"/>
      <c r="G34" s="43"/>
      <c r="H34" s="43"/>
      <c r="I34" s="43"/>
      <c r="J34" s="43"/>
      <c r="K34" s="43"/>
      <c r="L34" s="43"/>
      <c r="M34" s="43"/>
      <c r="N34" s="43"/>
      <c r="O34" s="43"/>
      <c r="P34" s="43"/>
      <c r="Q34" s="43"/>
      <c r="R34" s="43"/>
      <c r="S34" s="43"/>
    </row>
    <row r="35" spans="1:19" x14ac:dyDescent="0.2">
      <c r="A35" s="91"/>
      <c r="B35" s="94" t="str">
        <f>'Parameters List'!B35</f>
        <v>Stagger Loss (dB)</v>
      </c>
      <c r="C35" s="64">
        <v>0</v>
      </c>
      <c r="D35" s="64">
        <v>0</v>
      </c>
      <c r="F35" s="43"/>
      <c r="G35" s="43"/>
      <c r="H35" s="43"/>
      <c r="I35" s="43"/>
      <c r="J35" s="43"/>
      <c r="K35" s="43"/>
      <c r="L35" s="43"/>
      <c r="M35" s="43"/>
      <c r="N35" s="43"/>
      <c r="O35" s="43"/>
      <c r="P35" s="43"/>
      <c r="Q35" s="43"/>
      <c r="R35" s="43"/>
      <c r="S35" s="43"/>
    </row>
    <row r="36" spans="1:19" x14ac:dyDescent="0.2">
      <c r="A36" s="91" t="s">
        <v>78</v>
      </c>
      <c r="B36" s="95" t="str">
        <f>'Parameters List'!B36</f>
        <v>PW (µs)</v>
      </c>
      <c r="C36" s="33">
        <f>C$46*C$48*$C$174</f>
        <v>0.4</v>
      </c>
      <c r="D36" s="33">
        <f>D$46*D$48*$C$174</f>
        <v>6.5</v>
      </c>
      <c r="F36" s="43"/>
      <c r="G36" s="43"/>
      <c r="H36" s="43"/>
      <c r="I36" s="43"/>
      <c r="J36" s="43"/>
      <c r="K36" s="43"/>
      <c r="L36" s="43"/>
      <c r="M36" s="43"/>
      <c r="N36" s="43"/>
      <c r="O36" s="43"/>
      <c r="P36" s="43"/>
      <c r="Q36" s="43"/>
      <c r="R36" s="43"/>
      <c r="S36" s="43"/>
    </row>
    <row r="37" spans="1:19" x14ac:dyDescent="0.2">
      <c r="A37" s="91" t="s">
        <v>78</v>
      </c>
      <c r="B37" s="95" t="str">
        <f>'Parameters List'!B37</f>
        <v>Actual Bandwidth (MHz)</v>
      </c>
      <c r="C37" s="33">
        <f>2*C$48/(C$36*(2*(C$48=2)+1*(C$48&lt;&gt;2)))</f>
        <v>5</v>
      </c>
      <c r="D37" s="33">
        <f>2*D$48/(D$36*(2*(D$48=2)+1*(D$48&lt;&gt;2)))</f>
        <v>4</v>
      </c>
      <c r="F37" s="43"/>
      <c r="G37" s="43"/>
      <c r="H37" s="43"/>
      <c r="I37" s="43"/>
      <c r="J37" s="43"/>
      <c r="K37" s="43"/>
      <c r="L37" s="43"/>
      <c r="M37" s="43"/>
      <c r="N37" s="43"/>
      <c r="O37" s="43"/>
      <c r="P37" s="43"/>
      <c r="Q37" s="43"/>
      <c r="R37" s="43"/>
      <c r="S37" s="43"/>
    </row>
    <row r="38" spans="1:19" x14ac:dyDescent="0.2">
      <c r="A38" s="91" t="s">
        <v>81</v>
      </c>
      <c r="B38" s="95" t="str">
        <f>'Parameters List'!B38</f>
        <v>Range Resolution (m)</v>
      </c>
      <c r="C38" s="67">
        <f>$C$163*C$36 /C$48*(2*(C$48=2)+1*(C$48&lt;&gt;2))</f>
        <v>59.958491600000002</v>
      </c>
      <c r="D38" s="67">
        <f>$C$163*D$36 /D$48*(2*(D$48=2)+1*(D$48&lt;&gt;2))</f>
        <v>74.948114500000003</v>
      </c>
      <c r="F38" s="43"/>
      <c r="G38" s="43"/>
      <c r="H38" s="43"/>
      <c r="I38" s="43"/>
      <c r="J38" s="43"/>
      <c r="K38" s="43"/>
      <c r="L38" s="43"/>
      <c r="M38" s="43"/>
      <c r="N38" s="43"/>
      <c r="O38" s="43"/>
      <c r="P38" s="43"/>
      <c r="Q38" s="43"/>
      <c r="R38" s="43"/>
      <c r="S38" s="43"/>
    </row>
    <row r="39" spans="1:19" x14ac:dyDescent="0.2">
      <c r="A39" s="91" t="s">
        <v>81</v>
      </c>
      <c r="B39" s="95" t="str">
        <f>'Parameters List'!B39</f>
        <v>Range Gate Width (m)</v>
      </c>
      <c r="C39" s="67">
        <f>C$38*(1*(C$47=0)+0.5*(C$47&lt;&gt;0))</f>
        <v>29.979245800000001</v>
      </c>
      <c r="D39" s="67">
        <f>D$38*(1*(D$47=0)+0.5*(D$47&lt;&gt;0))</f>
        <v>37.474057250000001</v>
      </c>
      <c r="F39" s="43"/>
      <c r="G39" s="43"/>
      <c r="H39" s="43"/>
      <c r="I39" s="43"/>
      <c r="J39" s="43"/>
      <c r="K39" s="43"/>
      <c r="L39" s="43"/>
      <c r="M39" s="43"/>
      <c r="N39" s="43"/>
      <c r="O39" s="43"/>
      <c r="P39" s="43"/>
      <c r="Q39" s="43"/>
      <c r="R39" s="43"/>
      <c r="S39" s="43"/>
    </row>
    <row r="40" spans="1:19" x14ac:dyDescent="0.2">
      <c r="A40" s="91" t="s">
        <v>78</v>
      </c>
      <c r="B40" s="94" t="str">
        <f>'Parameters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'Parameters List'!B41</f>
        <v>Min Range Offset (m)</v>
      </c>
      <c r="C41" s="64">
        <v>30</v>
      </c>
      <c r="D41" s="64">
        <v>37</v>
      </c>
      <c r="F41" s="43"/>
      <c r="G41" s="43"/>
      <c r="H41" s="43"/>
      <c r="I41" s="43"/>
      <c r="J41" s="43"/>
      <c r="K41" s="43"/>
      <c r="L41" s="43"/>
      <c r="M41" s="43"/>
      <c r="N41" s="43"/>
      <c r="O41" s="43"/>
      <c r="P41" s="43"/>
      <c r="Q41" s="43"/>
      <c r="R41" s="43"/>
      <c r="S41" s="43"/>
    </row>
    <row r="42" spans="1:19" x14ac:dyDescent="0.2">
      <c r="A42" s="91" t="s">
        <v>78</v>
      </c>
      <c r="B42" s="94" t="str">
        <f>'Parameters List'!B42</f>
        <v>Max Range Offset (m)</v>
      </c>
      <c r="C42" s="64">
        <v>30</v>
      </c>
      <c r="D42" s="64">
        <v>37</v>
      </c>
      <c r="F42" s="43"/>
      <c r="G42" s="43"/>
      <c r="H42" s="43"/>
      <c r="I42" s="43"/>
      <c r="J42" s="43"/>
      <c r="K42" s="43"/>
      <c r="L42" s="43"/>
      <c r="M42" s="43"/>
      <c r="N42" s="43"/>
      <c r="O42" s="43"/>
      <c r="P42" s="43"/>
      <c r="Q42" s="43"/>
      <c r="R42" s="43"/>
      <c r="S42" s="43"/>
    </row>
    <row r="43" spans="1:19" x14ac:dyDescent="0.2">
      <c r="A43" s="91" t="s">
        <v>78</v>
      </c>
      <c r="B43" s="95" t="str">
        <f>'Parameters List'!B43</f>
        <v>Min Range (m)</v>
      </c>
      <c r="C43" s="67">
        <f>$C$163*C$36 + C$41</f>
        <v>89.958491600000002</v>
      </c>
      <c r="D43" s="67">
        <f>$C$163*D$36 + D$41</f>
        <v>1011.3254885</v>
      </c>
      <c r="F43" s="43"/>
      <c r="G43" s="43"/>
      <c r="H43" s="43"/>
      <c r="I43" s="43"/>
      <c r="J43" s="43"/>
      <c r="K43" s="43"/>
      <c r="L43" s="43"/>
      <c r="M43" s="43"/>
      <c r="N43" s="43"/>
      <c r="O43" s="43"/>
      <c r="P43" s="43"/>
      <c r="Q43" s="43"/>
      <c r="R43" s="43"/>
      <c r="S43" s="43"/>
    </row>
    <row r="44" spans="1:19" x14ac:dyDescent="0.2">
      <c r="A44" s="91" t="s">
        <v>78</v>
      </c>
      <c r="B44" s="95" t="str">
        <f>'Parameters List'!B44</f>
        <v>Max Range (m)</v>
      </c>
      <c r="C44" s="67">
        <f>$C$163*((C$45-1)*C$46*$C$174/IF(C$48=2,IF(C$47=1,1,0.5),IF(C$47=1,2,1)))+C$43</f>
        <v>1139.2320946</v>
      </c>
      <c r="D44" s="67">
        <f>$C$163*((D$45-1)*D$46*$C$174/IF(D$48=2,IF(D$47=1,1,0.5),IF(D$47=1,2,1)))+D$43</f>
        <v>5021.0496142499996</v>
      </c>
      <c r="F44" s="43"/>
      <c r="G44" s="43"/>
      <c r="H44" s="43"/>
      <c r="I44" s="43"/>
      <c r="J44" s="43"/>
      <c r="K44" s="43"/>
      <c r="L44" s="43"/>
      <c r="M44" s="43"/>
      <c r="N44" s="43"/>
      <c r="O44" s="43"/>
      <c r="P44" s="43"/>
      <c r="Q44" s="43"/>
      <c r="R44" s="43"/>
      <c r="S44" s="43"/>
    </row>
    <row r="45" spans="1:19" x14ac:dyDescent="0.2">
      <c r="A45" s="91" t="s">
        <v>78</v>
      </c>
      <c r="B45" s="95" t="str">
        <f>'Parameters List'!B45</f>
        <v>NRG</v>
      </c>
      <c r="C45" s="33">
        <f>FLOOR((C$32-$C$161-2*C$36-(C$41+C$42)/$C$163)/(IF(C$48=2,IF(C$47=0,C$46*$C$174*2,C$46*$C$174),IF(C$47=0,C$46*$C$174,C$46*$C$174/2))),1)+1</f>
        <v>36</v>
      </c>
      <c r="D45" s="33">
        <f>FLOOR((D$32-$C$161-2*D$36-(D$41+D$42)/$C$163)/(IF(D$48=2,IF(D$47=0,D$46*$C$174*2,D$46*$C$174),IF(D$47=0,D$46*$C$174,D$46*$C$174/2))),1)+1</f>
        <v>108</v>
      </c>
      <c r="F45" s="43"/>
      <c r="G45" s="43"/>
      <c r="H45" s="43"/>
      <c r="I45" s="43"/>
      <c r="J45" s="43"/>
      <c r="K45" s="43"/>
      <c r="L45" s="43"/>
      <c r="M45" s="43"/>
      <c r="N45" s="43"/>
      <c r="O45" s="43"/>
      <c r="P45" s="43"/>
      <c r="Q45" s="43"/>
      <c r="R45" s="43"/>
      <c r="S45" s="43"/>
    </row>
    <row r="46" spans="1:19" x14ac:dyDescent="0.2">
      <c r="A46" s="91" t="s">
        <v>78</v>
      </c>
      <c r="B46" s="94" t="str">
        <f>'Parameters List'!B46</f>
        <v>TCHIP (even number)</v>
      </c>
      <c r="C46" s="64">
        <v>16</v>
      </c>
      <c r="D46" s="64">
        <v>40</v>
      </c>
      <c r="F46" s="43"/>
      <c r="G46" s="43"/>
      <c r="H46" s="43"/>
      <c r="I46" s="43"/>
      <c r="J46" s="43"/>
      <c r="K46" s="43"/>
      <c r="L46" s="43"/>
      <c r="M46" s="43"/>
      <c r="N46" s="43"/>
      <c r="O46" s="43"/>
      <c r="P46" s="43"/>
      <c r="Q46" s="43"/>
      <c r="R46" s="43"/>
      <c r="S46" s="43"/>
    </row>
    <row r="47" spans="1:19" x14ac:dyDescent="0.2">
      <c r="A47" s="91" t="s">
        <v>78</v>
      </c>
      <c r="B47" s="94" t="str">
        <f>'Parameters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'Parameters List'!B48</f>
        <v>NSERIES</v>
      </c>
      <c r="C48" s="64">
        <v>2</v>
      </c>
      <c r="D48" s="64">
        <v>13</v>
      </c>
      <c r="F48" s="43"/>
      <c r="G48" s="43"/>
      <c r="H48" s="43"/>
      <c r="I48" s="43"/>
      <c r="J48" s="43"/>
      <c r="K48" s="43"/>
      <c r="L48" s="43"/>
      <c r="M48" s="43"/>
      <c r="N48" s="43"/>
      <c r="O48" s="43"/>
      <c r="P48" s="43"/>
      <c r="Q48" s="43"/>
      <c r="R48" s="43"/>
      <c r="S48" s="43"/>
    </row>
    <row r="49" spans="1:19" x14ac:dyDescent="0.2">
      <c r="A49" s="91" t="s">
        <v>78</v>
      </c>
      <c r="B49" s="94" t="str">
        <f>'Parameters List'!B49</f>
        <v>POSTDEC</v>
      </c>
      <c r="C49" s="64">
        <v>1</v>
      </c>
      <c r="D49" s="64">
        <v>1</v>
      </c>
      <c r="F49" s="43"/>
      <c r="G49" s="43"/>
      <c r="H49" s="43"/>
      <c r="I49" s="43"/>
      <c r="J49" s="43"/>
      <c r="K49" s="43"/>
      <c r="L49" s="43"/>
      <c r="M49" s="43"/>
      <c r="N49" s="43"/>
      <c r="O49" s="43"/>
      <c r="P49" s="43"/>
      <c r="Q49" s="43"/>
      <c r="R49" s="43"/>
      <c r="S49" s="43"/>
    </row>
    <row r="50" spans="1:19" x14ac:dyDescent="0.2">
      <c r="A50" s="91"/>
      <c r="B50" s="80" t="str">
        <f>'Parameters List'!B50</f>
        <v>Max Abs Velocity Meas (m/s)</v>
      </c>
      <c r="C50" s="70">
        <f>1000000/($C$168*2*$C$104*C$49)</f>
        <v>82.265643488282748</v>
      </c>
      <c r="D50" s="70">
        <f>1000000/($C$168*2*$C$104*D$49)</f>
        <v>82.265643488282748</v>
      </c>
      <c r="F50" s="43"/>
      <c r="G50" s="43"/>
      <c r="H50" s="43"/>
      <c r="I50" s="43"/>
      <c r="J50" s="43"/>
      <c r="K50" s="43"/>
      <c r="L50" s="43"/>
      <c r="M50" s="43"/>
      <c r="N50" s="43"/>
      <c r="O50" s="43"/>
      <c r="P50" s="43"/>
      <c r="Q50" s="43"/>
      <c r="R50" s="43"/>
      <c r="S50" s="43"/>
    </row>
    <row r="51" spans="1:19" x14ac:dyDescent="0.2">
      <c r="A51" s="91" t="s">
        <v>78</v>
      </c>
      <c r="B51" s="95" t="str">
        <f>'Parameters List'!B51</f>
        <v>Npoints (up to FFT length)</v>
      </c>
      <c r="C51" s="33">
        <f>FLOOR((1000*C$29/$C$104/C$49),16)</f>
        <v>256</v>
      </c>
      <c r="D51" s="33">
        <f>FLOOR((1000*D$29/$C$104/D$49),16)</f>
        <v>256</v>
      </c>
      <c r="F51" s="43"/>
      <c r="G51" s="43"/>
      <c r="H51" s="43"/>
      <c r="I51" s="43"/>
      <c r="J51" s="43"/>
      <c r="K51" s="43"/>
      <c r="L51" s="43"/>
      <c r="M51" s="43"/>
      <c r="N51" s="43"/>
      <c r="O51" s="43"/>
      <c r="P51" s="43"/>
      <c r="Q51" s="43"/>
      <c r="R51" s="43"/>
      <c r="S51" s="43"/>
    </row>
    <row r="52" spans="1:19" x14ac:dyDescent="0.2">
      <c r="A52" s="91" t="s">
        <v>78</v>
      </c>
      <c r="B52" s="95" t="str">
        <f>'Parameters List'!B52</f>
        <v>FFT length (limited to 8192)</v>
      </c>
      <c r="C52" s="33">
        <f>2^CEILING(LOG10(C51)/LOG10(2),1)</f>
        <v>256</v>
      </c>
      <c r="D52" s="33">
        <f>2^CEILING(LOG10(D51)/LOG10(2),1)</f>
        <v>256</v>
      </c>
      <c r="F52" s="43"/>
      <c r="G52" s="43"/>
      <c r="H52" s="43"/>
      <c r="I52" s="43"/>
      <c r="J52" s="43"/>
      <c r="K52" s="43"/>
      <c r="L52" s="43"/>
      <c r="M52" s="43"/>
      <c r="N52" s="43"/>
      <c r="O52" s="43"/>
      <c r="P52" s="43"/>
      <c r="Q52" s="43"/>
      <c r="R52" s="43"/>
      <c r="S52" s="43"/>
    </row>
    <row r="53" spans="1:19" x14ac:dyDescent="0.2">
      <c r="A53" s="91"/>
      <c r="B53" s="95" t="str">
        <f>'Parameters List'!B53</f>
        <v>NCRG(per rcvr,limited to 512)</v>
      </c>
      <c r="C53" s="67">
        <f>C$45*C$26</f>
        <v>504</v>
      </c>
      <c r="D53" s="67">
        <f>D$45*D$26</f>
        <v>324</v>
      </c>
      <c r="F53" s="43"/>
      <c r="G53" s="43"/>
      <c r="H53" s="43"/>
      <c r="I53" s="43"/>
      <c r="J53" s="43"/>
      <c r="K53" s="43"/>
      <c r="L53" s="43"/>
      <c r="M53" s="43"/>
      <c r="N53" s="43"/>
      <c r="O53" s="43"/>
      <c r="P53" s="43"/>
      <c r="Q53" s="43"/>
      <c r="R53" s="43"/>
      <c r="S53" s="43"/>
    </row>
    <row r="54" spans="1:19" x14ac:dyDescent="0.2">
      <c r="A54" s="91"/>
      <c r="B54" s="95" t="str">
        <f>'Parameters List'!B54</f>
        <v>NCRG(all rcvrs)</v>
      </c>
      <c r="C54" s="67">
        <f>C$53*$C$155</f>
        <v>2520</v>
      </c>
      <c r="D54" s="67">
        <f>D$53*$C$155</f>
        <v>1620</v>
      </c>
      <c r="F54" s="43"/>
      <c r="G54" s="43"/>
      <c r="H54" s="43"/>
      <c r="I54" s="43"/>
      <c r="J54" s="43"/>
      <c r="K54" s="43"/>
      <c r="L54" s="43"/>
      <c r="M54" s="43"/>
      <c r="N54" s="43"/>
      <c r="O54" s="43"/>
      <c r="P54" s="43"/>
      <c r="Q54" s="43"/>
      <c r="R54" s="43"/>
      <c r="S54" s="43"/>
    </row>
    <row r="55" spans="1:19" x14ac:dyDescent="0.2">
      <c r="A55" s="91"/>
      <c r="B55" s="95" t="str">
        <f>'Parameters List'!B55</f>
        <v>TCHIP (m)</v>
      </c>
      <c r="C55" s="67">
        <f>C46*$C$163*$C$174</f>
        <v>29.979245800000001</v>
      </c>
      <c r="D55" s="67">
        <f>D46*$C$163*$C$174</f>
        <v>74.948114500000003</v>
      </c>
      <c r="F55" s="43"/>
      <c r="G55" s="43"/>
      <c r="H55" s="43"/>
      <c r="I55" s="43"/>
      <c r="J55" s="43"/>
      <c r="K55" s="43"/>
      <c r="L55" s="43"/>
      <c r="M55" s="43"/>
      <c r="N55" s="43"/>
      <c r="O55" s="43"/>
      <c r="P55" s="43"/>
      <c r="Q55" s="43"/>
      <c r="R55" s="43"/>
      <c r="S55" s="43"/>
    </row>
    <row r="56" spans="1:19" x14ac:dyDescent="0.2">
      <c r="A56" s="91"/>
      <c r="B56" s="94" t="str">
        <f>'Parameters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'Parameters List'!B57</f>
        <v>Clutter Margin (m/s)</v>
      </c>
      <c r="C57" s="67">
        <v>1</v>
      </c>
      <c r="D57" s="67">
        <v>1</v>
      </c>
      <c r="F57" s="119" t="s">
        <v>528</v>
      </c>
      <c r="G57" s="43"/>
      <c r="H57" s="43"/>
      <c r="I57" s="67">
        <f>IF($C$206+I$56&gt;0,$C$206+I$56+I$67*I$65*1,0)</f>
        <v>0.74948114500000007</v>
      </c>
      <c r="J57" s="67">
        <f>IF($C$206+J$56&gt;0,$C$206+J$56+J$67*J$65*1,0)</f>
        <v>0.74948114500000007</v>
      </c>
      <c r="K57" s="43"/>
      <c r="L57" s="43"/>
      <c r="M57" s="43"/>
      <c r="N57" s="43"/>
      <c r="O57" s="43"/>
      <c r="P57" s="43"/>
      <c r="Q57" s="43"/>
      <c r="R57" s="43"/>
      <c r="S57" s="43"/>
    </row>
    <row r="58" spans="1:19" x14ac:dyDescent="0.2">
      <c r="A58" s="91" t="s">
        <v>78</v>
      </c>
      <c r="B58" s="94" t="str">
        <f>'Parameters List'!B58</f>
        <v>Min Velocity (m/s)</v>
      </c>
      <c r="C58" s="64">
        <v>0</v>
      </c>
      <c r="D58" s="64">
        <v>0</v>
      </c>
      <c r="F58" s="43"/>
      <c r="G58" s="43"/>
      <c r="H58" s="43"/>
      <c r="I58" s="43"/>
      <c r="J58" s="43"/>
      <c r="K58" s="43"/>
      <c r="L58" s="43"/>
      <c r="M58" s="43"/>
      <c r="N58" s="43"/>
      <c r="O58" s="43"/>
      <c r="P58" s="43"/>
      <c r="Q58" s="43"/>
      <c r="R58" s="43"/>
      <c r="S58" s="43"/>
    </row>
    <row r="59" spans="1:19" x14ac:dyDescent="0.2">
      <c r="A59" s="91" t="s">
        <v>81</v>
      </c>
      <c r="B59" s="94" t="str">
        <f>'Parameters List'!B59</f>
        <v>Max Velocity (m/s)</v>
      </c>
      <c r="C59" s="64">
        <v>75</v>
      </c>
      <c r="D59" s="64">
        <v>75</v>
      </c>
      <c r="F59" s="43"/>
      <c r="G59" s="43"/>
      <c r="H59" s="43"/>
      <c r="I59" s="43"/>
      <c r="J59" s="43"/>
      <c r="K59" s="43"/>
      <c r="L59" s="43"/>
      <c r="M59" s="43"/>
      <c r="N59" s="43"/>
      <c r="O59" s="43"/>
      <c r="P59" s="43"/>
      <c r="Q59" s="43"/>
      <c r="R59" s="43"/>
      <c r="S59" s="43"/>
    </row>
    <row r="60" spans="1:19" x14ac:dyDescent="0.2">
      <c r="A60" s="91"/>
      <c r="B60" s="68" t="str">
        <f>'Parameters List'!B60</f>
        <v>Loss Velocity (m/s)</v>
      </c>
      <c r="C60" s="67">
        <f>C$38*1000/C$30</f>
        <v>899.78047565309248</v>
      </c>
      <c r="D60" s="67">
        <f>D$38*1000/D$30</f>
        <v>1124.7255945663655</v>
      </c>
      <c r="F60" s="43"/>
      <c r="G60" s="43"/>
      <c r="H60" s="43"/>
      <c r="I60" s="43"/>
      <c r="J60" s="43"/>
      <c r="K60" s="43"/>
      <c r="L60" s="43"/>
      <c r="M60" s="43"/>
      <c r="N60" s="43"/>
      <c r="O60" s="43"/>
      <c r="P60" s="43"/>
      <c r="Q60" s="43"/>
      <c r="R60" s="43"/>
      <c r="S60" s="43"/>
    </row>
    <row r="61" spans="1:19" x14ac:dyDescent="0.2">
      <c r="A61" s="92"/>
      <c r="B61" s="68" t="str">
        <f>'Parameters List'!B61</f>
        <v>Velocity Loss (dB)</v>
      </c>
      <c r="C61" s="67">
        <f>IF(C$59&lt;C$60, 0, IF(C$47=1, IF(C$59&lt;2*C$60, (C$59 / C$60)*0.5*$C$203, 10), IF(C$47=0, IF(C$59&lt;2*C$60, (C$59 / C$60)*$C$202-$C$202/2, 10), 10)))+(-20*LOG10(ABS(SIN(PI()*C$59*$C$168*C$36*10^-6)/(PI()*C$59*$C$168*C$36*10^-6))))</f>
        <v>7.010678568129911E-6</v>
      </c>
      <c r="D61" s="67">
        <f>IF(D$59&lt;D$60, 0, IF(D$47=1, IF(D$59&lt;2*D$60, (D$59 / D$60)*0.5*$C$203, 10), IF(D$47=0, IF(D$59&lt;2*D$60, (D$59 / D$60)*$C$202-$C$202/2, 10), 10)))+(-20*LOG10(ABS(SIN(PI()*D$59*$C$168*D$36*10^-6)/(PI()*D$59*$C$168*D$36*10^-6))))</f>
        <v>1.8513359302442878E-3</v>
      </c>
    </row>
    <row r="62" spans="1:19" x14ac:dyDescent="0.2">
      <c r="A62" s="92"/>
      <c r="B62" s="71" t="str">
        <f>'Parameters List'!B62</f>
        <v>Max Acceleration (m/s2)</v>
      </c>
      <c r="C62" s="64">
        <v>0</v>
      </c>
      <c r="D62" s="64">
        <v>0</v>
      </c>
    </row>
    <row r="63" spans="1:19" x14ac:dyDescent="0.2">
      <c r="A63" s="91"/>
      <c r="B63" s="68" t="str">
        <f>'Parameters List'!B63</f>
        <v>Loss Acceleration (m/s2)</v>
      </c>
      <c r="C63" s="67">
        <f>C$65*1000/C$30*$C$196</f>
        <v>18.325169358810701</v>
      </c>
      <c r="D63" s="67">
        <f>D$65*1000/D$30*$C$196</f>
        <v>18.325169358810701</v>
      </c>
      <c r="F63" s="43"/>
      <c r="G63" s="43"/>
      <c r="H63" s="43"/>
      <c r="I63" s="43"/>
      <c r="J63" s="43"/>
      <c r="K63" s="43"/>
      <c r="L63" s="43"/>
      <c r="M63" s="43"/>
      <c r="N63" s="43"/>
      <c r="O63" s="43"/>
      <c r="P63" s="43"/>
      <c r="Q63" s="43"/>
      <c r="R63" s="43"/>
      <c r="S63" s="43"/>
    </row>
    <row r="64" spans="1:19" x14ac:dyDescent="0.2">
      <c r="A64" s="92"/>
      <c r="B64" s="68" t="str">
        <f>'Parameters List'!B64</f>
        <v>Acceleration Loss (dB)</v>
      </c>
      <c r="C64" s="67">
        <f>IF( C$62 &gt;= C$63, C$62 / C$63 * $C$198, 0)</f>
        <v>0</v>
      </c>
      <c r="D64" s="67">
        <f>IF( D$62 &gt;= D$63, D$62 / D$63 * $C$198, 0)</f>
        <v>0</v>
      </c>
    </row>
    <row r="65" spans="1:19" x14ac:dyDescent="0.2">
      <c r="A65" s="91" t="s">
        <v>81</v>
      </c>
      <c r="B65" s="80" t="str">
        <f>'Parameters List'!B65</f>
        <v>fft2doppler (m/s per FFT bin)</v>
      </c>
      <c r="C65" s="70">
        <f>$C$106*1000/C$49/C$52/$C$168</f>
        <v>0.64270033975220897</v>
      </c>
      <c r="D65" s="70">
        <f>$C$106*1000/D$49/D$52/$C$168</f>
        <v>0.64270033975220897</v>
      </c>
      <c r="F65" s="43"/>
      <c r="G65" s="43"/>
      <c r="H65" s="43"/>
      <c r="I65" s="43"/>
      <c r="J65" s="43"/>
      <c r="K65" s="43"/>
      <c r="L65" s="43"/>
      <c r="M65" s="43"/>
      <c r="N65" s="43"/>
      <c r="O65" s="43"/>
      <c r="P65" s="43"/>
      <c r="Q65" s="43"/>
      <c r="R65" s="43"/>
      <c r="S65" s="43"/>
    </row>
    <row r="66" spans="1:19" x14ac:dyDescent="0.2">
      <c r="A66" s="91"/>
      <c r="B66" s="80" t="str">
        <f>'Parameters List'!B66</f>
        <v>Optimal Peak2Peak Seperation (m/s)</v>
      </c>
      <c r="C66" s="70">
        <f>(C$67+C$68+(C$67+1))*C$65</f>
        <v>13.496707134796388</v>
      </c>
      <c r="D66" s="70">
        <f>(D$67+D$68+(D$67+1))*D$65</f>
        <v>13.496707134796388</v>
      </c>
      <c r="F66" s="43"/>
      <c r="G66" s="43"/>
      <c r="H66" s="43"/>
      <c r="I66" s="43"/>
      <c r="J66" s="43"/>
      <c r="K66" s="43"/>
      <c r="L66" s="43"/>
      <c r="M66" s="43"/>
      <c r="N66" s="43"/>
      <c r="O66" s="43"/>
      <c r="P66" s="43"/>
      <c r="Q66" s="43"/>
      <c r="R66" s="43"/>
      <c r="S66" s="43"/>
    </row>
    <row r="67" spans="1:19" x14ac:dyDescent="0.2">
      <c r="A67" s="91"/>
      <c r="B67" s="95" t="str">
        <f>'Parameters List'!B67</f>
        <v># FFT bins of peak spreading (one side)</v>
      </c>
      <c r="C67" s="67">
        <f>ROUND((($C$200-1) / 2) * (C$52 / C$51) + (C$62*C$30/1000)/C$65,0)</f>
        <v>4</v>
      </c>
      <c r="D67" s="67">
        <f>ROUND((($C$200-1) / 2) * (D$52 / D$51) + (D$62*D$30/1000)/D$65,0)</f>
        <v>4</v>
      </c>
      <c r="F67" s="43"/>
      <c r="G67" s="43"/>
      <c r="H67" s="43"/>
      <c r="I67" s="43"/>
      <c r="J67" s="43"/>
      <c r="K67" s="43"/>
      <c r="L67" s="43"/>
      <c r="M67" s="43"/>
      <c r="N67" s="43"/>
      <c r="O67" s="43"/>
      <c r="P67" s="43"/>
      <c r="Q67" s="43"/>
      <c r="R67" s="43"/>
      <c r="S67" s="43"/>
    </row>
    <row r="68" spans="1:19" x14ac:dyDescent="0.2">
      <c r="A68" s="91"/>
      <c r="B68" s="95" t="str">
        <f>'Parameters List'!B68</f>
        <v># FFT bins for noise estimation (one side)</v>
      </c>
      <c r="C68" s="67">
        <f>ROUND((($C$201-1)/2*$C$197/$C$199)*(C$52/C$51),0)</f>
        <v>12</v>
      </c>
      <c r="D68" s="67">
        <f>ROUND((($C$201-1)/2*$C$197/$C$199)*(D$52/D$51),0)</f>
        <v>12</v>
      </c>
      <c r="F68" s="43"/>
      <c r="G68" s="43"/>
      <c r="H68" s="43"/>
      <c r="I68" s="43"/>
      <c r="J68" s="43"/>
      <c r="K68" s="43"/>
      <c r="L68" s="43"/>
      <c r="M68" s="43"/>
      <c r="N68" s="43"/>
      <c r="O68" s="43"/>
      <c r="P68" s="43"/>
      <c r="Q68" s="43"/>
      <c r="R68" s="43"/>
      <c r="S68" s="43"/>
    </row>
    <row r="69" spans="1:19" x14ac:dyDescent="0.2">
      <c r="A69" s="91"/>
      <c r="B69" s="95" t="str">
        <f>'Parameters List'!B69</f>
        <v># FFT bins of clutter margin (one side)</v>
      </c>
      <c r="C69" s="67">
        <f>C$57/C$65</f>
        <v>1.5559350729230152</v>
      </c>
      <c r="D69" s="67">
        <f>D$57/D$65</f>
        <v>1.5559350729230152</v>
      </c>
      <c r="F69" s="43"/>
      <c r="G69" s="43"/>
      <c r="H69" s="43"/>
      <c r="I69" s="43"/>
      <c r="J69" s="43"/>
      <c r="K69" s="43"/>
      <c r="L69" s="43"/>
      <c r="M69" s="43"/>
      <c r="N69" s="43"/>
      <c r="O69" s="43"/>
      <c r="P69" s="43"/>
      <c r="Q69" s="43"/>
      <c r="R69" s="43"/>
      <c r="S69" s="43"/>
    </row>
    <row r="70" spans="1:19" x14ac:dyDescent="0.2">
      <c r="A70" s="91"/>
      <c r="B70" s="95" t="str">
        <f>'Parameters List'!B70</f>
        <v># FFT bins to min velocity</v>
      </c>
      <c r="C70" s="67">
        <f>FLOOR(C$58/C$65,1)</f>
        <v>0</v>
      </c>
      <c r="D70" s="67">
        <f>FLOOR(D$58/D$65,1)</f>
        <v>0</v>
      </c>
      <c r="F70" s="43"/>
      <c r="G70" s="43"/>
      <c r="H70" s="43"/>
      <c r="I70" s="43"/>
      <c r="J70" s="43"/>
      <c r="K70" s="43"/>
      <c r="L70" s="43"/>
      <c r="M70" s="43"/>
      <c r="N70" s="43"/>
      <c r="O70" s="43"/>
      <c r="P70" s="43"/>
      <c r="Q70" s="43"/>
      <c r="R70" s="43"/>
      <c r="S70" s="43"/>
    </row>
    <row r="71" spans="1:19" x14ac:dyDescent="0.2">
      <c r="A71" s="91"/>
      <c r="B71" s="95" t="str">
        <f>'Parameters List'!B71</f>
        <v># FFT bins to max velocity</v>
      </c>
      <c r="C71" s="67">
        <f>CEILING(C$59/C$65,1)</f>
        <v>117</v>
      </c>
      <c r="D71" s="67">
        <f>CEILING(D$59/D$65,1)</f>
        <v>117</v>
      </c>
      <c r="F71" s="43"/>
      <c r="G71" s="43"/>
      <c r="H71" s="43"/>
      <c r="I71" s="43"/>
      <c r="J71" s="43"/>
      <c r="K71" s="43"/>
      <c r="L71" s="43"/>
      <c r="M71" s="43"/>
      <c r="N71" s="43"/>
      <c r="O71" s="43"/>
      <c r="P71" s="43"/>
      <c r="Q71" s="43"/>
      <c r="R71" s="43"/>
      <c r="S71" s="43"/>
    </row>
    <row r="72" spans="1:19" x14ac:dyDescent="0.2">
      <c r="A72" s="91" t="s">
        <v>81</v>
      </c>
      <c r="B72" s="95" t="str">
        <f>'Parameters List'!B72</f>
        <v>Noise Mask (example: '-13,-4,4,13)</v>
      </c>
      <c r="C72" s="67" t="str">
        <f>CONCATENATE(TEXT(-C$68-C$67,"0"),",",TEXT(-C$67-1,"0"),",",TEXT(C$67+1,"0"),",",TEXT(C$68+C$67,"0"))</f>
        <v>-16,-5,5,16</v>
      </c>
      <c r="D72" s="67" t="str">
        <f>CONCATENATE(TEXT(-D$68-D$67,"0"),",",TEXT(-D$67-1,"0"),",",TEXT(D$67+1,"0"),",",TEXT(D$68+D$67,"0"))</f>
        <v>-16,-5,5,16</v>
      </c>
      <c r="F72" s="43"/>
      <c r="G72" s="43"/>
      <c r="H72" s="43"/>
      <c r="I72" s="43"/>
      <c r="J72" s="43"/>
      <c r="K72" s="43"/>
      <c r="L72" s="43"/>
      <c r="M72" s="43"/>
      <c r="N72" s="43"/>
      <c r="O72" s="43"/>
      <c r="P72" s="43"/>
      <c r="Q72" s="43"/>
      <c r="R72" s="43"/>
      <c r="S72" s="43"/>
    </row>
    <row r="73" spans="1:19" x14ac:dyDescent="0.2">
      <c r="A73" s="91" t="s">
        <v>81</v>
      </c>
      <c r="B73" s="94" t="str">
        <f>'Parameters List'!B73</f>
        <v>Options (see Options List sheet)</v>
      </c>
      <c r="C73" s="101"/>
      <c r="D73" s="101"/>
      <c r="F73" s="43"/>
      <c r="G73" s="43"/>
      <c r="H73" s="43"/>
      <c r="I73" s="43"/>
      <c r="J73" s="43"/>
      <c r="K73" s="43"/>
      <c r="L73" s="43"/>
      <c r="M73" s="43"/>
      <c r="N73" s="43"/>
      <c r="O73" s="43"/>
      <c r="P73" s="43"/>
      <c r="Q73" s="43"/>
      <c r="R73" s="43"/>
      <c r="S73" s="43"/>
    </row>
    <row r="74" spans="1:19" x14ac:dyDescent="0.2">
      <c r="A74" s="91" t="s">
        <v>81</v>
      </c>
      <c r="B74" s="94" t="str">
        <f>'Parameters List'!B74</f>
        <v>SNR Threshold (dB)</v>
      </c>
      <c r="C74" s="73">
        <v>12</v>
      </c>
      <c r="D74" s="73">
        <v>12</v>
      </c>
      <c r="F74" s="43"/>
      <c r="G74" s="43"/>
      <c r="H74" s="43"/>
      <c r="I74" s="43"/>
      <c r="J74" s="43"/>
      <c r="K74" s="43"/>
      <c r="L74" s="43"/>
      <c r="M74" s="43"/>
      <c r="N74" s="43"/>
      <c r="O74" s="43"/>
      <c r="P74" s="43"/>
      <c r="Q74" s="43"/>
      <c r="R74" s="43"/>
      <c r="S74" s="43"/>
    </row>
    <row r="75" spans="1:19" x14ac:dyDescent="0.2">
      <c r="A75" s="91"/>
      <c r="B75" s="80" t="str">
        <f>'Parameters List'!B75</f>
        <v>Probability of False Alarm</v>
      </c>
      <c r="C75" s="70">
        <f>pf_PD_PFA_CFAR("pfa", C$74, C$120, C$121, C$68*2, 1)</f>
        <v>5.1888289024436828E-6</v>
      </c>
      <c r="D75" s="70">
        <f>pf_PD_PFA_CFAR("pfa", D$74, D$120, D$121, D$68*2, 1)</f>
        <v>5.1888289024436828E-6</v>
      </c>
      <c r="F75" s="43"/>
      <c r="G75" s="43"/>
      <c r="H75" s="43"/>
      <c r="I75" s="43"/>
      <c r="J75" s="43"/>
      <c r="K75" s="43"/>
      <c r="L75" s="43"/>
      <c r="M75" s="43"/>
      <c r="N75" s="43"/>
      <c r="O75" s="43"/>
      <c r="P75" s="43"/>
      <c r="Q75" s="43"/>
      <c r="R75" s="43"/>
      <c r="S75" s="43"/>
    </row>
    <row r="76" spans="1:19" x14ac:dyDescent="0.2">
      <c r="A76" s="91"/>
      <c r="B76" s="80" t="str">
        <f>'Parameters List'!B76</f>
        <v>Probability of False Alarm per CPI</v>
      </c>
      <c r="C76" s="70">
        <f>C$75*C$52*C$53</f>
        <v>0.66948346030889372</v>
      </c>
      <c r="D76" s="70">
        <f>D$75*D$52*D$53</f>
        <v>0.43038222448428881</v>
      </c>
      <c r="F76" s="43"/>
      <c r="G76" s="43"/>
      <c r="H76" s="43"/>
      <c r="I76" s="43"/>
      <c r="J76" s="43"/>
      <c r="K76" s="43"/>
      <c r="L76" s="43"/>
      <c r="M76" s="43"/>
      <c r="N76" s="43"/>
      <c r="O76" s="43"/>
      <c r="P76" s="43"/>
      <c r="Q76" s="43"/>
      <c r="R76" s="43"/>
      <c r="S76" s="43"/>
    </row>
    <row r="77" spans="1:19" x14ac:dyDescent="0.2">
      <c r="A77" s="91"/>
      <c r="B77" s="80" t="str">
        <f>'Parameters List'!B77</f>
        <v>Probability of False Alarm per SEC</v>
      </c>
      <c r="C77" s="70">
        <f>C$76/(C$30/1000)</f>
        <v>10.046752849910163</v>
      </c>
      <c r="D77" s="70">
        <f>D$76/(D$30/1000)</f>
        <v>6.4586268320851055</v>
      </c>
      <c r="F77" s="43"/>
      <c r="G77" s="43"/>
      <c r="H77" s="43"/>
      <c r="I77" s="43"/>
      <c r="J77" s="43"/>
      <c r="K77" s="43"/>
      <c r="L77" s="43"/>
      <c r="M77" s="43"/>
      <c r="N77" s="43"/>
      <c r="O77" s="43"/>
      <c r="P77" s="43"/>
      <c r="Q77" s="43"/>
      <c r="R77" s="43"/>
      <c r="S77" s="43"/>
    </row>
    <row r="78" spans="1:19" x14ac:dyDescent="0.2">
      <c r="A78" s="91"/>
      <c r="B78" s="94" t="str">
        <f>'Parameters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'Parameters List'!B79</f>
        <v>STC Init Range (m)</v>
      </c>
      <c r="C79" s="70">
        <f>10^((40*LOG10(C$44)-(C$78-C$99)) / 40)</f>
        <v>341.48994107886494</v>
      </c>
      <c r="D79" s="70">
        <f>10^((40*LOG10(D$44)-(D$78-D$99)) / 40)</f>
        <v>1449.7818142342837</v>
      </c>
      <c r="F79" s="43"/>
      <c r="G79" s="43"/>
      <c r="H79" s="43"/>
      <c r="I79" s="43"/>
      <c r="J79" s="43"/>
      <c r="K79" s="43"/>
      <c r="L79" s="43"/>
      <c r="M79" s="43"/>
      <c r="N79" s="43"/>
      <c r="O79" s="43"/>
      <c r="P79" s="43"/>
      <c r="Q79" s="43"/>
      <c r="R79" s="43"/>
      <c r="S79" s="43"/>
    </row>
    <row r="80" spans="1:19" x14ac:dyDescent="0.2">
      <c r="A80" s="91"/>
      <c r="B80" s="94" t="str">
        <f>'Parameters List'!B80</f>
        <v>Tapered Array (0/1)</v>
      </c>
      <c r="C80" s="101">
        <v>0</v>
      </c>
      <c r="D80" s="101">
        <v>0</v>
      </c>
      <c r="F80" s="43"/>
      <c r="G80" s="43"/>
      <c r="H80" s="43"/>
      <c r="I80" s="43"/>
      <c r="J80" s="43"/>
      <c r="K80" s="43"/>
      <c r="L80" s="43"/>
      <c r="M80" s="43"/>
      <c r="N80" s="43"/>
      <c r="O80" s="43"/>
      <c r="P80" s="43"/>
      <c r="Q80" s="43"/>
      <c r="R80" s="43"/>
      <c r="S80" s="43"/>
    </row>
    <row r="81" spans="1:19" x14ac:dyDescent="0.2">
      <c r="A81" s="91"/>
      <c r="B81" s="94" t="str">
        <f>'Parameters List'!B81</f>
        <v>AGC Set (1-6)</v>
      </c>
      <c r="C81" s="101">
        <v>3</v>
      </c>
      <c r="D81" s="101">
        <v>3</v>
      </c>
      <c r="F81" s="43"/>
      <c r="G81" s="43"/>
      <c r="H81" s="43"/>
      <c r="I81" s="43"/>
      <c r="J81" s="43"/>
      <c r="K81" s="43"/>
      <c r="L81" s="43"/>
      <c r="M81" s="43"/>
      <c r="N81" s="43"/>
      <c r="O81" s="43"/>
      <c r="P81" s="43"/>
      <c r="Q81" s="43"/>
      <c r="R81" s="43"/>
      <c r="S81" s="43"/>
    </row>
    <row r="82" spans="1:19" x14ac:dyDescent="0.2">
      <c r="A82" s="91"/>
      <c r="B82" s="95" t="str">
        <f>'Parameters List'!B82</f>
        <v>RF AGC (dB) - 1st Rx</v>
      </c>
      <c r="C82" s="67">
        <f>VLOOKUP(C$81,'AGC Set Table'!$A$3:$K$9,2,FALSE)</f>
        <v>0</v>
      </c>
      <c r="D82" s="67">
        <f>VLOOKUP(D$81,'AGC Set Table'!$A$3:$K$9,2,FALSE)</f>
        <v>0</v>
      </c>
      <c r="F82" s="43"/>
      <c r="G82" s="43"/>
      <c r="H82" s="43"/>
      <c r="I82" s="43"/>
      <c r="J82" s="43"/>
      <c r="K82" s="43"/>
      <c r="L82" s="43"/>
      <c r="M82" s="43"/>
      <c r="N82" s="43"/>
      <c r="O82" s="43"/>
      <c r="P82" s="43"/>
      <c r="Q82" s="43"/>
      <c r="R82" s="43"/>
      <c r="S82" s="43"/>
    </row>
    <row r="83" spans="1:19" x14ac:dyDescent="0.2">
      <c r="A83" s="91"/>
      <c r="B83" s="95" t="str">
        <f>'Parameters List'!B83</f>
        <v>IF AGC (dB) - 1st Rx</v>
      </c>
      <c r="C83" s="67">
        <f>VLOOKUP(C$81,'AGC Set Table'!$A$3:$K$9,3,FALSE)</f>
        <v>25</v>
      </c>
      <c r="D83" s="67">
        <f>VLOOKUP(D$81,'AGC Set Table'!$A$3:$K$9,3,FALSE)</f>
        <v>25</v>
      </c>
      <c r="F83" s="43"/>
      <c r="G83" s="43"/>
      <c r="H83" s="43"/>
      <c r="I83" s="43"/>
      <c r="J83" s="43"/>
      <c r="K83" s="43"/>
      <c r="L83" s="43"/>
      <c r="M83" s="43"/>
      <c r="N83" s="43"/>
      <c r="O83" s="43"/>
      <c r="P83" s="43"/>
      <c r="Q83" s="43"/>
      <c r="R83" s="43"/>
      <c r="S83" s="43"/>
    </row>
    <row r="84" spans="1:19" x14ac:dyDescent="0.2">
      <c r="A84" s="91"/>
      <c r="B84" s="95" t="str">
        <f>'Parameters List'!B84</f>
        <v>RF AGC (dB) - Ref Rx</v>
      </c>
      <c r="C84" s="67">
        <f>VLOOKUP(C$81,'AGC Set Table'!$A$3:$K$9,8,FALSE)</f>
        <v>0</v>
      </c>
      <c r="D84" s="67">
        <f>VLOOKUP(D$81,'AGC Set Table'!$A$3:$K$9,8,FALSE)</f>
        <v>0</v>
      </c>
      <c r="F84" s="43"/>
      <c r="G84" s="43"/>
      <c r="H84" s="43"/>
      <c r="I84" s="43"/>
      <c r="J84" s="43"/>
      <c r="K84" s="43"/>
      <c r="L84" s="43"/>
      <c r="M84" s="43"/>
      <c r="N84" s="43"/>
      <c r="O84" s="43"/>
      <c r="P84" s="43"/>
      <c r="Q84" s="43"/>
      <c r="R84" s="43"/>
      <c r="S84" s="43"/>
    </row>
    <row r="85" spans="1:19" x14ac:dyDescent="0.2">
      <c r="A85" s="91"/>
      <c r="B85" s="95" t="str">
        <f>'Parameters List'!B85</f>
        <v>IF AGC (dB) - Ref Rx</v>
      </c>
      <c r="C85" s="67">
        <f>VLOOKUP(C$81,'AGC Set Table'!$A$3:$K$9,9,FALSE)</f>
        <v>5</v>
      </c>
      <c r="D85" s="67">
        <f>VLOOKUP(D$81,'AGC Set Table'!$A$3:$K$9,9,FALSE)</f>
        <v>5</v>
      </c>
      <c r="F85" s="43"/>
      <c r="G85" s="43"/>
      <c r="H85" s="43"/>
      <c r="I85" s="43"/>
      <c r="J85" s="43"/>
      <c r="K85" s="43"/>
      <c r="L85" s="43"/>
      <c r="M85" s="43"/>
      <c r="N85" s="43"/>
      <c r="O85" s="43"/>
      <c r="P85" s="43"/>
      <c r="Q85" s="43"/>
      <c r="R85" s="43"/>
      <c r="S85" s="43"/>
    </row>
    <row r="86" spans="1:19" x14ac:dyDescent="0.2">
      <c r="A86" s="91"/>
      <c r="B86" s="95" t="str">
        <f>'Parameters List'!B86</f>
        <v>NF @ADCout (dB) - 1st Rx</v>
      </c>
      <c r="C86" s="67">
        <f>VLOOKUP(C$81,'AGC Set Table'!$A$3:$K$9,IF(C$80=0,6,IF(C$80=1,7)),FALSE)</f>
        <v>4.1399999999999997</v>
      </c>
      <c r="D86" s="67">
        <f>VLOOKUP(D$81,'AGC Set Table'!$A$3:$K$9,IF(D$80=0,6,IF(D$80=1,7)),FALSE)</f>
        <v>4.1399999999999997</v>
      </c>
      <c r="F86" s="43"/>
      <c r="G86" s="43"/>
      <c r="H86" s="43"/>
      <c r="I86" s="43"/>
      <c r="J86" s="43"/>
      <c r="K86" s="43"/>
      <c r="L86" s="43"/>
      <c r="M86" s="43"/>
      <c r="N86" s="43"/>
      <c r="O86" s="43"/>
      <c r="P86" s="43"/>
      <c r="Q86" s="43"/>
      <c r="R86" s="43"/>
      <c r="S86" s="43"/>
    </row>
    <row r="87" spans="1:19" x14ac:dyDescent="0.2">
      <c r="A87" s="91"/>
      <c r="B87" s="95" t="str">
        <f>'Parameters List'!B87</f>
        <v>NF @ADCout (dB) - Ref Rx</v>
      </c>
      <c r="C87" s="67">
        <f>VLOOKUP(C$81,'AGC Set Table'!$A$3:$K$9,11,FALSE)</f>
        <v>2.5299999999999998</v>
      </c>
      <c r="D87" s="67">
        <f>VLOOKUP(D$81,'AGC Set Table'!$A$3:$K$9,11,FALSE)</f>
        <v>2.5299999999999998</v>
      </c>
      <c r="F87" s="43"/>
      <c r="G87" s="43"/>
      <c r="H87" s="43"/>
      <c r="I87" s="43"/>
      <c r="J87" s="43"/>
      <c r="K87" s="43"/>
      <c r="L87" s="43"/>
      <c r="M87" s="43"/>
      <c r="N87" s="43"/>
      <c r="O87" s="43"/>
      <c r="P87" s="43"/>
      <c r="Q87" s="43"/>
      <c r="R87" s="43"/>
      <c r="S87" s="43"/>
    </row>
    <row r="88" spans="1:19" x14ac:dyDescent="0.2">
      <c r="A88" s="91" t="s">
        <v>81</v>
      </c>
      <c r="B88" s="94" t="str">
        <f>'Parameters List'!B88</f>
        <v>RCS (m^2)</v>
      </c>
      <c r="C88" s="74">
        <v>5.0000000000000001E-3</v>
      </c>
      <c r="D88" s="74">
        <v>0.1</v>
      </c>
      <c r="F88" s="43"/>
      <c r="G88" s="43"/>
      <c r="H88" s="43"/>
      <c r="I88" s="43"/>
      <c r="J88" s="43"/>
      <c r="K88" s="43"/>
      <c r="L88" s="43"/>
      <c r="M88" s="43"/>
      <c r="N88" s="43"/>
      <c r="O88" s="43"/>
      <c r="P88" s="43"/>
      <c r="Q88" s="43"/>
      <c r="R88" s="43"/>
      <c r="S88" s="43"/>
    </row>
    <row r="89" spans="1:19" x14ac:dyDescent="0.2">
      <c r="A89" s="91"/>
      <c r="B89" s="95" t="str">
        <f>'Parameters List'!B89</f>
        <v>σ(dB/m2)</v>
      </c>
      <c r="C89" s="67">
        <f>10*LOG10(C$88)</f>
        <v>-23.010299956639813</v>
      </c>
      <c r="D89" s="67">
        <f>10*LOG10(D$88)</f>
        <v>-10</v>
      </c>
      <c r="F89" s="43"/>
      <c r="G89" s="43"/>
      <c r="H89" s="43"/>
      <c r="I89" s="43"/>
      <c r="J89" s="43"/>
      <c r="K89" s="43"/>
      <c r="L89" s="43"/>
      <c r="M89" s="43"/>
      <c r="N89" s="43"/>
      <c r="O89" s="43"/>
      <c r="P89" s="43"/>
      <c r="Q89" s="43"/>
      <c r="R89" s="43"/>
      <c r="S89" s="43"/>
    </row>
    <row r="90" spans="1:19" x14ac:dyDescent="0.2">
      <c r="A90" s="91"/>
      <c r="B90" s="80" t="str">
        <f>'Parameters List'!B90</f>
        <v>Tgt min range @ADCin (dBm) - Ref. Rx</v>
      </c>
      <c r="C90" s="70">
        <f>$C$185+$C$186+$C$188+C$89+$C$189-$C$190-40*LOG10(C$43)+$C$171-C$84-C$85-$C$179*(C$80=1)</f>
        <v>-24.237552158978019</v>
      </c>
      <c r="D90" s="70">
        <f>$C$185+$C$186+$C$188+D$89+$C$189-$C$190-40*LOG10(D$43)+$C$171-D$84-D$85-$C$179*(D$80=1)</f>
        <v>-53.26120373190534</v>
      </c>
      <c r="F90" s="43"/>
      <c r="G90" s="43"/>
      <c r="H90" s="43"/>
      <c r="I90" s="43"/>
      <c r="J90" s="43"/>
      <c r="K90" s="43"/>
      <c r="L90" s="43"/>
      <c r="M90" s="43"/>
      <c r="N90" s="43"/>
      <c r="O90" s="43"/>
      <c r="P90" s="43"/>
      <c r="Q90" s="43"/>
      <c r="R90" s="43"/>
      <c r="S90" s="43"/>
    </row>
    <row r="91" spans="1:19" x14ac:dyDescent="0.2">
      <c r="A91" s="91"/>
      <c r="B91" s="80" t="str">
        <f>'Parameters List'!B91</f>
        <v>Tgt max range @ADCin (dBm) - Ref. Rx</v>
      </c>
      <c r="C91" s="70">
        <f>$C$185+$C$186+$C$188+C$89+$C$189-$C$190-40*LOG10(C$44)+$C$171-C$84-C$85-$C$179*(C$80=1)</f>
        <v>-68.340354030065441</v>
      </c>
      <c r="D91" s="70">
        <f>$C$185+$C$186+$C$188+D$89+$C$189-$C$190-40*LOG10(D$44)+$C$171-D$84-D$85-$C$179*(D$80=1)</f>
        <v>-81.097346125443153</v>
      </c>
      <c r="F91" s="43"/>
      <c r="G91" s="43"/>
      <c r="H91" s="43"/>
      <c r="I91" s="43"/>
      <c r="J91" s="43"/>
      <c r="K91" s="43"/>
      <c r="L91" s="43"/>
      <c r="M91" s="43"/>
      <c r="N91" s="43"/>
      <c r="O91" s="43"/>
      <c r="P91" s="43"/>
      <c r="Q91" s="43"/>
      <c r="R91" s="43"/>
      <c r="S91" s="43"/>
    </row>
    <row r="92" spans="1:19" x14ac:dyDescent="0.2">
      <c r="A92" s="91"/>
      <c r="B92" s="95" t="str">
        <f>'Parameters List'!B92</f>
        <v>1st Rx Noise @ADCout (dBm/bin)</v>
      </c>
      <c r="C92" s="67">
        <f>C$86+$C$173+$C$171-C$84-C$85+10*LOG10($C$175*10^6)-$C$178*(C$80=1)+10*LOG10($C$156/$C$157)</f>
        <v>-34.839400086720389</v>
      </c>
      <c r="D92" s="67">
        <f>D$86+$C$173+$C$171-D$84-D$85+10*LOG10($C$175*10^6)-$C$178*(D$80=1)+10*LOG10($C$156/$C$157)</f>
        <v>-34.839400086720389</v>
      </c>
      <c r="F92" s="43"/>
      <c r="G92" s="43"/>
      <c r="H92" s="43"/>
      <c r="I92" s="43"/>
      <c r="J92" s="43"/>
      <c r="K92" s="43"/>
      <c r="L92" s="43"/>
      <c r="M92" s="43"/>
      <c r="N92" s="43"/>
      <c r="O92" s="43"/>
      <c r="P92" s="43"/>
      <c r="Q92" s="43"/>
      <c r="R92" s="43"/>
      <c r="S92" s="43"/>
    </row>
    <row r="93" spans="1:19" x14ac:dyDescent="0.2">
      <c r="A93" s="91"/>
      <c r="B93" s="95" t="str">
        <f>'Parameters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'Parameters List'!B94</f>
        <v>Total Noise @ADCout (dBm/bin)</v>
      </c>
      <c r="C94" s="67">
        <f>10*LOG10(10^((C$93 + 10*LOG10($C$157))/10) + 10^((C$92 + 10*LOG10(($C$182-$C$157) / $C$156))/10))+ (10*LOG10(C$34) - C$35) * (C$34&gt;1)</f>
        <v>-28.74449759340315</v>
      </c>
      <c r="D94" s="67">
        <f>10*LOG10(10^((D$93 + 10*LOG10($C$157))/10) + 10^((D$92 + 10*LOG10(($C$182-$C$157) / $C$156))/10))+ (10*LOG10(D$34) - D$35) * (D$34&gt;1)</f>
        <v>-28.74449759340315</v>
      </c>
      <c r="F94" s="43"/>
      <c r="G94" s="43"/>
      <c r="H94" s="43"/>
      <c r="I94" s="43"/>
      <c r="J94" s="43"/>
      <c r="K94" s="43"/>
      <c r="L94" s="43"/>
      <c r="M94" s="43"/>
      <c r="N94" s="43"/>
      <c r="O94" s="43"/>
      <c r="P94" s="43"/>
      <c r="Q94" s="43"/>
      <c r="R94" s="43"/>
      <c r="S94" s="43"/>
    </row>
    <row r="95" spans="1:19" x14ac:dyDescent="0.2">
      <c r="A95" s="91" t="s">
        <v>81</v>
      </c>
      <c r="B95" s="95" t="str">
        <f>'Parameters List'!B95</f>
        <v>Rx Processing Gain (dB)</v>
      </c>
      <c r="C95" s="67">
        <f>10*LOG10(C$46/2 * C$48 * C$51 * C$49) - $C$195</f>
        <v>33.073599479677746</v>
      </c>
      <c r="D95" s="67">
        <f>10*LOG10(D$46/2 * D$48 * D$51 * D$49) - $C$195</f>
        <v>45.182133132826678</v>
      </c>
      <c r="F95" s="43"/>
      <c r="G95" s="43"/>
      <c r="H95" s="43"/>
      <c r="I95" s="43"/>
      <c r="J95" s="43"/>
      <c r="K95" s="43"/>
      <c r="L95" s="43"/>
      <c r="M95" s="43"/>
      <c r="N95" s="43"/>
      <c r="O95" s="43"/>
      <c r="P95" s="43"/>
      <c r="Q95" s="43"/>
      <c r="R95" s="43"/>
      <c r="S95" s="43"/>
    </row>
    <row r="96" spans="1:19" x14ac:dyDescent="0.2">
      <c r="A96" s="91"/>
      <c r="B96" s="95" t="str">
        <f>'Parameters List'!B96</f>
        <v>Total Processing Gain (dB)</v>
      </c>
      <c r="C96" s="67">
        <f>C$95 + 20*LOG10($C$182) + (20*LOG10(C$34) - 2 * C$35) * (C$34&gt;1)-$C$179*(C$80=1)-$C$177*(C$80=1)</f>
        <v>65.329276614072455</v>
      </c>
      <c r="D96" s="67">
        <f>D$95 + 20*LOG10($C$182) + (20*LOG10(D$34) - 2 * D$35) * (D$34&gt;1)-$C$179*(D$80=1)-$C$177*(D$80=1)</f>
        <v>77.43781026722138</v>
      </c>
      <c r="F96" s="43"/>
      <c r="G96" s="43"/>
      <c r="H96" s="43"/>
      <c r="I96" s="43"/>
      <c r="J96" s="43"/>
      <c r="K96" s="43"/>
      <c r="L96" s="43"/>
      <c r="M96" s="43"/>
      <c r="N96" s="43"/>
      <c r="O96" s="43"/>
      <c r="P96" s="43"/>
      <c r="Q96" s="43"/>
      <c r="R96" s="43"/>
      <c r="S96" s="43"/>
    </row>
    <row r="97" spans="1:19" x14ac:dyDescent="0.2">
      <c r="A97" s="92"/>
      <c r="B97" s="95" t="str">
        <f>'Parameters List'!B97</f>
        <v>Total Loss (dB)</v>
      </c>
      <c r="C97" s="67">
        <f>$C$191 + ($C$202*(C$47=0)+$C$203*(C$47=1)+$C$198) + C$61 + C$64</f>
        <v>1.6627920106785681</v>
      </c>
      <c r="D97" s="67">
        <f>$C$191 + ($C$202*(D$47=0)+$C$203*(D$47=1)+$C$198) + D$61 + D$64</f>
        <v>1.6646363359302443</v>
      </c>
    </row>
    <row r="98" spans="1:19" x14ac:dyDescent="0.2">
      <c r="A98" s="91"/>
      <c r="B98" s="80" t="str">
        <f>'Parameters List'!B98</f>
        <v>SNR min range (dB)</v>
      </c>
      <c r="C98" s="70">
        <f>C$90+C$96-C$94-C$97</f>
        <v>68.173430037819017</v>
      </c>
      <c r="D98" s="70">
        <f>D$90+D$96-D$94-D$97</f>
        <v>51.256467792788946</v>
      </c>
      <c r="F98" s="43"/>
      <c r="G98" s="43"/>
      <c r="H98" s="43"/>
      <c r="I98" s="43"/>
      <c r="J98" s="43"/>
      <c r="K98" s="43"/>
      <c r="L98" s="43"/>
      <c r="M98" s="43"/>
      <c r="N98" s="43"/>
      <c r="O98" s="43"/>
      <c r="P98" s="43"/>
      <c r="Q98" s="43"/>
      <c r="R98" s="43"/>
      <c r="S98" s="43"/>
    </row>
    <row r="99" spans="1:19" x14ac:dyDescent="0.2">
      <c r="A99" s="91"/>
      <c r="B99" s="80" t="str">
        <f>'Parameters List'!B99</f>
        <v>SNR max range (dB)</v>
      </c>
      <c r="C99" s="70">
        <f>C$91+C$96-C$94-C$97</f>
        <v>24.070628166731595</v>
      </c>
      <c r="D99" s="70">
        <f>D$91+D$96-D$94-D$97</f>
        <v>23.420325399251134</v>
      </c>
      <c r="F99" s="43"/>
      <c r="G99" s="43"/>
      <c r="H99" s="43"/>
      <c r="I99" s="43"/>
      <c r="J99" s="43"/>
      <c r="K99" s="43"/>
      <c r="L99" s="43"/>
      <c r="M99" s="43"/>
      <c r="N99" s="43"/>
      <c r="O99" s="43"/>
      <c r="P99" s="43"/>
      <c r="Q99" s="43"/>
      <c r="R99" s="43"/>
      <c r="S99" s="43"/>
    </row>
    <row r="100" spans="1:19" x14ac:dyDescent="0.2">
      <c r="A100" s="91"/>
      <c r="B100" s="95" t="str">
        <f>'Parameters List'!B100</f>
        <v>Duty cycle per beam</v>
      </c>
      <c r="C100" s="67">
        <f>C$36/$C$104</f>
        <v>1.536688436419516E-3</v>
      </c>
      <c r="D100" s="67">
        <f>D$36/$C$104</f>
        <v>2.4971187091817133E-2</v>
      </c>
      <c r="F100" s="43"/>
      <c r="G100" s="43"/>
      <c r="H100" s="43"/>
      <c r="I100" s="43"/>
      <c r="J100" s="43"/>
      <c r="K100" s="43"/>
      <c r="L100" s="43"/>
      <c r="M100" s="43"/>
      <c r="N100" s="43"/>
      <c r="O100" s="43"/>
      <c r="P100" s="43"/>
      <c r="Q100" s="43"/>
      <c r="R100" s="43"/>
      <c r="S100" s="43"/>
    </row>
    <row r="101" spans="1:19" x14ac:dyDescent="0.2">
      <c r="A101" s="91"/>
      <c r="B101" s="95" t="str">
        <f>'Parameters List'!B101</f>
        <v>Buffer size (KB)</v>
      </c>
      <c r="C101" s="67">
        <f>MROUND((IF(C$21, $C$210*$C$155, C$54)*C$51*8+64)/1024,4)</f>
        <v>5040</v>
      </c>
      <c r="D101" s="67">
        <f>MROUND((IF(D$21, $C$210*$C$155, D$54)*D$51*8+64)/1024,4)</f>
        <v>3240</v>
      </c>
      <c r="F101" s="43"/>
      <c r="G101" s="43"/>
      <c r="H101" s="43"/>
      <c r="I101" s="43"/>
      <c r="J101" s="43"/>
      <c r="K101" s="43"/>
      <c r="L101" s="43"/>
      <c r="M101" s="43"/>
      <c r="N101" s="43"/>
      <c r="O101" s="43"/>
      <c r="P101" s="43"/>
      <c r="Q101" s="43"/>
      <c r="R101" s="43"/>
      <c r="S101" s="43"/>
    </row>
    <row r="102" spans="1:19" x14ac:dyDescent="0.2">
      <c r="A102" s="91"/>
      <c r="B102" s="95" t="str">
        <f>'Parameters List'!B102</f>
        <v>PCIe Rate MB/s</v>
      </c>
      <c r="C102" s="67">
        <f>C$101*1024/C$30/1024</f>
        <v>75.633883980023043</v>
      </c>
      <c r="D102" s="67">
        <f>D$101*1024/D$30/1024</f>
        <v>48.62178255858624</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'Parameters List'!B104</f>
        <v>Total PRI (μs)</v>
      </c>
      <c r="C104" s="77">
        <f>(SUMIF($E$13:$AJ$13,"=1",$E$18:$AJ$18)*C$46+SUMIF($E$13:$AJ$13,"=2",$E$18:$AJ$18)*D$46)*$C$174+$C$208+COUNTIFS(E$13:AJ$13,"=1",E$15:AJ$15,"=1") * C$32 + COUNTIFS(E$13:AJ$13,"=1",E$15:AJ$15,"=2") * C$33 + COUNTIFS(E$13:AJ$13,"=2",E$15:AJ$15,"=1") * D$32 + COUNTIFS(E$13:AJ$13,"=2",E$15:AJ$15,"=2") * D$33</f>
        <v>260.3</v>
      </c>
      <c r="F104" s="43"/>
      <c r="G104" s="43"/>
      <c r="H104" s="43"/>
      <c r="I104" s="43"/>
      <c r="J104" s="43"/>
      <c r="K104" s="43"/>
      <c r="L104" s="43"/>
      <c r="M104" s="43"/>
      <c r="N104" s="43"/>
      <c r="O104" s="43"/>
      <c r="P104" s="43"/>
      <c r="Q104" s="43"/>
      <c r="R104" s="43"/>
      <c r="S104" s="43"/>
    </row>
    <row r="105" spans="1:19" x14ac:dyDescent="0.2">
      <c r="B105" s="76" t="str">
        <f>'Parameters List'!B105</f>
        <v>Unambiguous Range (km)</v>
      </c>
      <c r="C105" s="77">
        <f>$C$104*$C$163/1000</f>
        <v>39.017988408700006</v>
      </c>
      <c r="F105" s="43"/>
      <c r="G105" s="43"/>
      <c r="H105" s="43"/>
      <c r="I105" s="43"/>
      <c r="J105" s="43"/>
      <c r="K105" s="43"/>
      <c r="L105" s="43"/>
      <c r="M105" s="43"/>
      <c r="N105" s="43"/>
      <c r="O105" s="43"/>
      <c r="P105" s="43"/>
      <c r="Q105" s="43"/>
      <c r="R105" s="43"/>
      <c r="S105" s="43"/>
    </row>
    <row r="106" spans="1:19" x14ac:dyDescent="0.2">
      <c r="B106" s="76" t="str">
        <f>'Parameters List'!B106</f>
        <v>Total PRF (kHz)</v>
      </c>
      <c r="C106" s="77">
        <f>1000/$C$104</f>
        <v>3.8417210910487896</v>
      </c>
      <c r="F106" s="43"/>
      <c r="G106" s="43"/>
      <c r="H106" s="43"/>
      <c r="I106" s="43"/>
      <c r="J106" s="43"/>
      <c r="K106" s="43"/>
      <c r="L106" s="43"/>
      <c r="M106" s="43"/>
      <c r="N106" s="43"/>
      <c r="O106" s="43"/>
      <c r="P106" s="43"/>
      <c r="Q106" s="43"/>
      <c r="R106" s="43"/>
      <c r="S106" s="43"/>
    </row>
    <row r="107" spans="1:19" x14ac:dyDescent="0.2">
      <c r="B107" s="76" t="str">
        <f>'Parameters List'!B107</f>
        <v>Folding (Blind) Velocity (m/s)</v>
      </c>
      <c r="C107" s="77">
        <f>1000*$C$106/$C$168</f>
        <v>164.5312869765655</v>
      </c>
      <c r="F107" s="43"/>
      <c r="G107" s="43"/>
      <c r="H107" s="43"/>
      <c r="I107" s="43"/>
      <c r="J107" s="43"/>
      <c r="K107" s="43"/>
      <c r="L107" s="43"/>
      <c r="M107" s="43"/>
      <c r="N107" s="43"/>
      <c r="O107" s="43"/>
      <c r="P107" s="43"/>
      <c r="Q107" s="43"/>
      <c r="R107" s="43"/>
      <c r="S107" s="43"/>
    </row>
    <row r="108" spans="1:19" x14ac:dyDescent="0.2">
      <c r="B108" s="76" t="str">
        <f>'Parameters List'!B108</f>
        <v>Max Trk Vr STD for Res Vel Amb (m/s)</v>
      </c>
      <c r="C108" s="77">
        <f>$C$107/4</f>
        <v>41.132821744141374</v>
      </c>
      <c r="F108" s="43"/>
      <c r="G108" s="43"/>
      <c r="H108" s="43"/>
      <c r="I108" s="43"/>
      <c r="J108" s="43"/>
      <c r="K108" s="43"/>
      <c r="L108" s="43"/>
      <c r="M108" s="43"/>
      <c r="N108" s="43"/>
      <c r="O108" s="43"/>
      <c r="P108" s="43"/>
      <c r="Q108" s="43"/>
      <c r="R108" s="43"/>
      <c r="S108" s="43"/>
    </row>
    <row r="109" spans="1:19" x14ac:dyDescent="0.2">
      <c r="B109" s="76" t="str">
        <f>'Parameters List'!B109</f>
        <v>Antenna 1 PA Duty cycle</v>
      </c>
      <c r="C109" s="77">
        <f>C$100*IF(C$27&gt;0,C$27,C$26)+D$100*IF(D$27&gt;0,D$27,D$26)</f>
        <v>9.6427199385324625E-2</v>
      </c>
      <c r="F109" s="43"/>
      <c r="G109" s="43"/>
      <c r="H109" s="43"/>
      <c r="I109" s="43"/>
      <c r="J109" s="43"/>
      <c r="K109" s="43"/>
      <c r="L109" s="43"/>
      <c r="M109" s="43"/>
      <c r="N109" s="43"/>
      <c r="O109" s="43"/>
      <c r="P109" s="43"/>
      <c r="Q109" s="43"/>
      <c r="R109" s="43"/>
      <c r="S109" s="43"/>
    </row>
    <row r="110" spans="1:19" x14ac:dyDescent="0.2">
      <c r="B110" s="76" t="str">
        <f>'Parameters List'!B110</f>
        <v>Antenna 2 PA Duty cycle</v>
      </c>
      <c r="C110" s="77">
        <f>C$100*IF(C$28&gt;0,C$28,C$26)+D$100*IF(D$28&gt;0,D$28,D$26)</f>
        <v>9.6427199385324625E-2</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'Parameters List'!B112</f>
        <v>Tgt RCS (m^2):</v>
      </c>
      <c r="C112" s="74">
        <f>C88</f>
        <v>5.0000000000000001E-3</v>
      </c>
      <c r="D112" s="74">
        <f>D88</f>
        <v>0.1</v>
      </c>
      <c r="F112" s="43"/>
      <c r="G112" s="43"/>
      <c r="H112" s="43"/>
      <c r="I112" s="43"/>
      <c r="J112" s="43"/>
      <c r="K112" s="43"/>
      <c r="L112" s="43"/>
      <c r="M112" s="43"/>
      <c r="N112" s="43"/>
      <c r="O112" s="43"/>
      <c r="P112" s="43"/>
      <c r="Q112" s="43"/>
      <c r="R112" s="43"/>
      <c r="S112" s="43"/>
    </row>
    <row r="113" spans="2:19" x14ac:dyDescent="0.2">
      <c r="B113" s="78" t="str">
        <f>'Parameters List'!B113</f>
        <v>SNR @ Range (m):</v>
      </c>
      <c r="C113" s="74">
        <f>C44</f>
        <v>1139.2320946</v>
      </c>
      <c r="D113" s="74">
        <f>D44</f>
        <v>5021.0496142499996</v>
      </c>
    </row>
    <row r="114" spans="2:19" x14ac:dyDescent="0.2">
      <c r="B114" s="79" t="str">
        <f>'Parameters List'!B114</f>
        <v>Tgt @ADCin (dBm) - Ref. Rx</v>
      </c>
      <c r="C114" s="70">
        <f>$C$185+$C$186+$C$188+10*LOG10(C$112)+$C$189-$C$190-40*LOG10(C$113)+$C$171-C$84-C$85-$C$179*(C$80=1)</f>
        <v>-68.340354030065441</v>
      </c>
      <c r="D114" s="70">
        <f>$C$185+$C$186+$C$188+10*LOG10(D$112)+$C$189-$C$190-40*LOG10(D$113)+$C$171-D$84-D$85-$C$179*(D$80=1)</f>
        <v>-81.097346125443153</v>
      </c>
    </row>
    <row r="115" spans="2:19" x14ac:dyDescent="0.2">
      <c r="B115" s="95" t="str">
        <f>'Parameters List'!B115</f>
        <v>Tgt @ADCin (dBm) - 1st Rx - no calib.</v>
      </c>
      <c r="C115" s="70">
        <f>C$114-($C$188+$C$171-C$84-C$85-$C$179*(C$80=1))+$C$187+$C$170-C$82-C$83-$C$177*(C$80=1)</f>
        <v>-72.340354030065441</v>
      </c>
      <c r="D115" s="70">
        <f>D$114-($C$188+$C$171-D$84-D$85-$C$179*(D$80=1))+$C$187+$C$170-D$82-D$83-$C$177*(D$80=1)</f>
        <v>-85.097346125443153</v>
      </c>
      <c r="F115" s="43"/>
      <c r="G115" s="43"/>
      <c r="H115" s="43"/>
      <c r="I115" s="43"/>
      <c r="J115" s="43"/>
      <c r="K115" s="43"/>
      <c r="L115" s="43"/>
      <c r="M115" s="43"/>
      <c r="N115" s="43"/>
      <c r="O115" s="43"/>
      <c r="P115" s="43"/>
      <c r="Q115" s="43"/>
      <c r="R115" s="43"/>
      <c r="S115" s="43"/>
    </row>
    <row r="116" spans="2:19" x14ac:dyDescent="0.2">
      <c r="B116" s="95" t="str">
        <f>'Parameters List'!B116</f>
        <v>Tgt @ADCout (dBm) - 1st Rx</v>
      </c>
      <c r="C116" s="70">
        <f>C$114+20*LOG10($C$156/$C$157)-$C$177*(C$80=1)</f>
        <v>-48.340354030065441</v>
      </c>
      <c r="D116" s="70">
        <f>D$114+20*LOG10($C$156/$C$157)-$C$177*(D$80=1)</f>
        <v>-61.097346125443153</v>
      </c>
      <c r="F116" s="43"/>
      <c r="G116" s="43"/>
      <c r="H116" s="43"/>
      <c r="I116" s="43"/>
      <c r="J116" s="43"/>
      <c r="K116" s="43"/>
      <c r="L116" s="43"/>
      <c r="M116" s="43"/>
      <c r="N116" s="43"/>
      <c r="O116" s="43"/>
      <c r="P116" s="43"/>
      <c r="Q116" s="43"/>
      <c r="R116" s="43"/>
      <c r="S116" s="43"/>
    </row>
    <row r="117" spans="2:19" x14ac:dyDescent="0.2">
      <c r="B117" s="95" t="str">
        <f>'Parameters List'!B117</f>
        <v>Tgt @ADCout (dBm)</v>
      </c>
      <c r="C117" s="70">
        <f>20*LOG10(10^(C$114/20)+($C$155-1)*10^(C$116/20))+ (20*LOG10(C$34) - 2 * C$35) * (C$34&gt;1)</f>
        <v>-36.084676895670732</v>
      </c>
      <c r="D117" s="70">
        <f>20*LOG10(10^(D$114/20)+($C$155-1)*10^(D$116/20))+ (20*LOG10(D$34) - 2 * D$35) * (D$34&gt;1)</f>
        <v>-48.841668991048444</v>
      </c>
      <c r="G117" s="43"/>
      <c r="H117" s="43"/>
      <c r="I117" s="43"/>
      <c r="J117" s="43"/>
      <c r="K117" s="43"/>
      <c r="L117" s="43"/>
      <c r="M117" s="43"/>
      <c r="N117" s="43"/>
      <c r="O117" s="43"/>
      <c r="P117" s="43"/>
      <c r="Q117" s="43"/>
      <c r="R117" s="43"/>
      <c r="S117" s="43"/>
    </row>
    <row r="118" spans="2:19" x14ac:dyDescent="0.2">
      <c r="B118" s="79" t="str">
        <f>'Parameters List'!B118</f>
        <v>SNR (dB)</v>
      </c>
      <c r="C118" s="70">
        <f>C117-C$94-C$97+C$95</f>
        <v>24.070628166731595</v>
      </c>
      <c r="D118" s="70">
        <f>D117-D$94-D$97+D$95</f>
        <v>23.420325399251141</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'Parameters List'!B120</f>
        <v>Probability of Detection @ SNR (dB):</v>
      </c>
      <c r="C120" s="64">
        <v>15</v>
      </c>
      <c r="D120" s="64">
        <v>18</v>
      </c>
    </row>
    <row r="121" spans="2:19" x14ac:dyDescent="0.2">
      <c r="B121" s="71" t="str">
        <f>'Parameters List'!B121</f>
        <v>SWERLING (0, I, II, III, IV)</v>
      </c>
      <c r="C121" s="64">
        <v>1</v>
      </c>
      <c r="D121" s="64">
        <v>0</v>
      </c>
    </row>
    <row r="122" spans="2:19" x14ac:dyDescent="0.2">
      <c r="B122" s="79" t="str">
        <f>'Parameters List'!B122</f>
        <v>Probability of Detection</v>
      </c>
      <c r="C122" s="70">
        <f>pf_PD_PFA_CFAR("pd", C$74, C$120, C$121, C$68*2, 1)</f>
        <v>0.6181820390905115</v>
      </c>
      <c r="D122" s="70">
        <f>pf_PD_PFA_CFAR("pd", D$74, D$120, D$121, D$68*2, 1)</f>
        <v>0.9999760631200133</v>
      </c>
    </row>
    <row r="123" spans="2:19" x14ac:dyDescent="0.2">
      <c r="B123" s="71" t="str">
        <f>'Parameters List'!B123</f>
        <v>Pd for at least N of M detections (N,M)</v>
      </c>
      <c r="C123" s="105" t="s">
        <v>386</v>
      </c>
      <c r="D123" s="105" t="s">
        <v>386</v>
      </c>
    </row>
    <row r="124" spans="2:19" x14ac:dyDescent="0.2">
      <c r="B124" s="79" t="str">
        <f>'Parameters List'!B124</f>
        <v>Probability of Detection</v>
      </c>
      <c r="C124" s="70">
        <f>pf_PD_N_OUTOF_M(C$122, LEFT(C$123,FIND(",",C$123,1) - 1), MID(C$123,FIND(",",C$123,1)+1,100))</f>
        <v>0.92619322925372272</v>
      </c>
      <c r="D124" s="70">
        <f>pf_PD_N_OUTOF_M(D$122, LEFT(D$123,FIND(",",D$123,1) - 1), MID(D$123,FIND(",",D$123,1)+1,100))</f>
        <v>1</v>
      </c>
    </row>
    <row r="125" spans="2:19" x14ac:dyDescent="0.2">
      <c r="B125" s="75"/>
    </row>
    <row r="126" spans="2:19" x14ac:dyDescent="0.2">
      <c r="B126" s="71" t="str">
        <f>'Parameters List'!B126</f>
        <v>Target Revisit Time (sec)</v>
      </c>
      <c r="C126" s="64">
        <v>0.05</v>
      </c>
      <c r="D126" s="64">
        <v>0.05</v>
      </c>
    </row>
    <row r="127" spans="2:19" x14ac:dyDescent="0.2">
      <c r="B127" s="68" t="str">
        <f>'Parameters List'!B127</f>
        <v>Acceleration Folding (m/s2)</v>
      </c>
      <c r="C127" s="67">
        <f>$C$107/C$126</f>
        <v>3290.6257395313096</v>
      </c>
      <c r="D127" s="67">
        <f>$C$107/D$126</f>
        <v>3290.6257395313096</v>
      </c>
    </row>
    <row r="128" spans="2:19" x14ac:dyDescent="0.2">
      <c r="B128" s="80" t="str">
        <f>'Parameters List'!B128</f>
        <v>Maximum Allowed Acceleration (m/s2)</v>
      </c>
      <c r="C128" s="70">
        <f>($C$107/4)/C$126</f>
        <v>822.6564348828274</v>
      </c>
      <c r="D128" s="70">
        <f>($C$107/4)/D$126</f>
        <v>822.6564348828274</v>
      </c>
    </row>
    <row r="129" spans="2:19" x14ac:dyDescent="0.2">
      <c r="B129" s="80" t="str">
        <f>'Parameters List'!B129</f>
        <v>Acceleration Ambiguity (m/s2)</v>
      </c>
      <c r="C129" s="70">
        <f>C$127-C$128</f>
        <v>2467.9693046484822</v>
      </c>
      <c r="D129" s="70">
        <f>D$127-D$128</f>
        <v>2467.9693046484822</v>
      </c>
    </row>
    <row r="130" spans="2:19" x14ac:dyDescent="0.2">
      <c r="B130" s="75"/>
    </row>
    <row r="131" spans="2:19" x14ac:dyDescent="0.2">
      <c r="B131" s="78" t="str">
        <f>'Parameters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'Parameters List'!B132</f>
        <v>SNR @ Range (m):</v>
      </c>
      <c r="C132" s="74">
        <f>$C$163*C$36 + C$41</f>
        <v>89.958491600000002</v>
      </c>
      <c r="D132" s="74">
        <f>$C$163*D$36 + D$41</f>
        <v>1011.3254885</v>
      </c>
    </row>
    <row r="133" spans="2:19" x14ac:dyDescent="0.2">
      <c r="B133" s="79" t="str">
        <f>'Parameters List'!B133</f>
        <v>Tgt @ADCin (dBm) - Ref. Rx</v>
      </c>
      <c r="C133" s="70">
        <f>$C$185+$C$186+$C$188+10*LOG10(C$131)+$C$189-$C$190-40*LOG10(C$132)+$C$171-C$84-C$85-$C$179*(C$80=1)</f>
        <v>-21.227252202338207</v>
      </c>
      <c r="D133" s="70">
        <f>$C$185+$C$186+$C$188+10*LOG10(D$131)+$C$189-$C$190-40*LOG10(D$132)+$C$171-D$84-D$85-$C$179*(D$80=1)</f>
        <v>-53.26120373190534</v>
      </c>
    </row>
    <row r="134" spans="2:19" x14ac:dyDescent="0.2">
      <c r="B134" s="78" t="str">
        <f>'Parameters List'!B134</f>
        <v>Interferer @ Range (m)</v>
      </c>
      <c r="C134" s="74">
        <v>10000</v>
      </c>
      <c r="D134" s="74">
        <v>10000</v>
      </c>
    </row>
    <row r="135" spans="2:19" x14ac:dyDescent="0.2">
      <c r="B135" s="79" t="str">
        <f>'Parameters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'Parameters List'!B136</f>
        <v>Interferer @ ADCin (dBm) - 1st Rx</v>
      </c>
      <c r="C136" s="70">
        <f>C$135+20*LOG10($C$156/$C$157)-$C$177*(C$80=1)</f>
        <v>27.926533025505833</v>
      </c>
      <c r="D136" s="70">
        <f>$C$185+$C$186+$C$187-$C$166+$C$189-$C$190/3*2-20*LOG10(D$134)+$C$170-D$84-D$85-$C$177*(D$80=1)</f>
        <v>23.926533025505833</v>
      </c>
    </row>
    <row r="137" spans="2:19" x14ac:dyDescent="0.2">
      <c r="B137" s="81" t="str">
        <f>'Parameters List'!B137</f>
        <v>Ref. Rx Phase Noise @ADCin (dBm/bin)</v>
      </c>
      <c r="C137" s="67">
        <f>C$135+$C$165+10*LOG10(1/(C$30*10^-3))+10*LOG10($C$175*10^6/($C$106*10^3))</f>
        <v>-65.135266714333028</v>
      </c>
      <c r="D137" s="67">
        <f>D$135+$C$165+10*LOG10(1/(D$30*10^-3))+10*LOG10($C$175*10^6/($C$106*10^3))</f>
        <v>-65.135266714333028</v>
      </c>
    </row>
    <row r="138" spans="2:19" x14ac:dyDescent="0.2">
      <c r="B138" s="81" t="str">
        <f>'Parameters List'!B138</f>
        <v>Ref. Rx Phase Noise @ADCout (dBm/bin)</v>
      </c>
      <c r="C138" s="67">
        <f>C$137+C$95</f>
        <v>-32.061667234655282</v>
      </c>
      <c r="D138" s="67">
        <f>D$137+D$95</f>
        <v>-19.95313358150635</v>
      </c>
    </row>
    <row r="139" spans="2:19" x14ac:dyDescent="0.2">
      <c r="B139" s="81" t="str">
        <f>'Parameters List'!B139</f>
        <v>Ref. Rx Total Noise @ADCout (dBm/bin)</v>
      </c>
      <c r="C139" s="67">
        <f>10*LOG10(10 ^ (C$138 / 10) + 10 ^ (C$93 / 10))</f>
        <v>-31.906349167116925</v>
      </c>
      <c r="D139" s="67">
        <f>10*LOG10(10 ^ (D$138 / 10) + 10 ^ (D$93 / 10))</f>
        <v>-19.943413462901841</v>
      </c>
    </row>
    <row r="140" spans="2:19" x14ac:dyDescent="0.2">
      <c r="B140" s="81" t="str">
        <f>'Parameters List'!B140</f>
        <v>1st Rx Phase Noise @ADCout (dBm/bin)</v>
      </c>
      <c r="C140" s="67">
        <f>C$136+$C$165+10*LOG10(1/(C$30*10^-3))+10*LOG10($C$175*10^6/($C$106*10^3))+C$95</f>
        <v>-12.061667234655289</v>
      </c>
      <c r="D140" s="67">
        <f>D$136+$C$165+10*LOG10(1/(D$30*10^-3))+10*LOG10($C$175*10^6/($C$106*10^3))+D$95</f>
        <v>-3.9531335815063571</v>
      </c>
    </row>
    <row r="141" spans="2:19" x14ac:dyDescent="0.2">
      <c r="B141" s="81" t="str">
        <f>'Parameters List'!B141</f>
        <v>1st Rx Total Noise @ADCout (dBm/bin)</v>
      </c>
      <c r="C141" s="67">
        <f>10*LOG10(10 ^ (C$140 / 10) + 10 ^ (C$92 / 10))</f>
        <v>-12.038818188607483</v>
      </c>
      <c r="D141" s="67">
        <f>10*LOG10(10 ^ (D$140 / 10) + 10 ^ (D$92 / 10))</f>
        <v>-3.9495937657506426</v>
      </c>
    </row>
    <row r="142" spans="2:19" x14ac:dyDescent="0.2">
      <c r="B142" s="81" t="str">
        <f>'Parameters List'!B142</f>
        <v>Total Noise Power @ADCout (dBm/bin)</v>
      </c>
      <c r="C142" s="67">
        <f>10*LOG10((($C$155-1) * 10^(C$140/20) + 10^(C$138/20))^2*((C$34 - 10^(C$35/10))*(C$34&gt;1) + 1) ^ 2 + 10^(C$94/10))</f>
        <v>0.19955177107896485</v>
      </c>
      <c r="D142" s="67">
        <f>10*LOG10((($C$155-1) * 10^(D$140/20) + 10^(D$138/20))^2*((D$34 - 10^(D$35/10))*(D$34&gt;1) + 1) ^ 2 + 10^(D$94/10))</f>
        <v>8.4264113986580575</v>
      </c>
    </row>
    <row r="143" spans="2:19" x14ac:dyDescent="0.2">
      <c r="B143" s="79" t="str">
        <f>'Parameters List'!B143</f>
        <v>SNR (dB)</v>
      </c>
      <c r="C143" s="70">
        <f>IF(C$134&lt;=0, C$133+C$96-C$94, C$133+C$96 -C$142)-C$97</f>
        <v>42.239680629976718</v>
      </c>
      <c r="D143" s="70">
        <f>IF(D$134&lt;=0, D$133+D$96-D$94, D$133+D$96 -D$142)-D$97</f>
        <v>14.085558800727739</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'Parameters List'!B146</f>
        <v>Ref Rx Noise @ADCout (dBm/bin)</v>
      </c>
      <c r="C146" s="70">
        <f>C$93-C$95</f>
        <v>-79.522999566398113</v>
      </c>
      <c r="D146" s="83">
        <f>D$93-D$95</f>
        <v>-91.631533219547052</v>
      </c>
      <c r="F146" s="43"/>
      <c r="G146" s="43"/>
      <c r="H146" s="43"/>
      <c r="I146" s="43"/>
      <c r="J146" s="43"/>
      <c r="K146" s="43"/>
      <c r="L146" s="43"/>
      <c r="M146" s="43"/>
      <c r="N146" s="43"/>
      <c r="O146" s="43"/>
      <c r="P146" s="43"/>
      <c r="Q146" s="43"/>
      <c r="R146" s="43"/>
      <c r="S146" s="43"/>
    </row>
    <row r="147" spans="2:19" x14ac:dyDescent="0.2">
      <c r="B147" s="82" t="str">
        <f>'Parameters List'!B147</f>
        <v>1st Rx Noise @ADCout (dBm/bin)</v>
      </c>
      <c r="C147" s="70">
        <f>C$92-C$95</f>
        <v>-67.912999566398128</v>
      </c>
      <c r="D147" s="83">
        <f>D$92-D$95</f>
        <v>-80.021533219547067</v>
      </c>
    </row>
    <row r="148" spans="2:19" ht="15" thickBot="1" x14ac:dyDescent="0.25">
      <c r="B148" s="84" t="str">
        <f>'Parameters List'!B148</f>
        <v>Beam Total Noise @ADCout (dBm/bin)</v>
      </c>
      <c r="C148" s="85">
        <f>C$94-C$95 - (10*LOG10(C$34) - C$35) * (C$34&gt;1)</f>
        <v>-61.818097073080892</v>
      </c>
      <c r="D148" s="86">
        <f>D$94-D$95 - (10*LOG10(D$34) - D$35) * (D$34&gt;1)</f>
        <v>-73.926630726229831</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'Parameters List'!B151</f>
        <v>Ref Rx Noise @ADCout (dBm/bin)</v>
      </c>
      <c r="C151" s="70">
        <f>C$139-C$95</f>
        <v>-64.979948646794668</v>
      </c>
      <c r="D151" s="83">
        <f>D$139-D$95</f>
        <v>-65.125546595728522</v>
      </c>
      <c r="F151" s="43"/>
      <c r="G151" s="43"/>
      <c r="H151" s="43"/>
      <c r="I151" s="43"/>
      <c r="J151" s="43"/>
      <c r="K151" s="43"/>
      <c r="L151" s="43"/>
      <c r="M151" s="43"/>
      <c r="N151" s="43"/>
      <c r="O151" s="43"/>
      <c r="P151" s="43"/>
      <c r="Q151" s="43"/>
      <c r="R151" s="43"/>
      <c r="S151" s="43"/>
    </row>
    <row r="152" spans="2:19" x14ac:dyDescent="0.2">
      <c r="B152" s="82" t="str">
        <f>'Parameters List'!B152</f>
        <v>1st Rx Noise @ADCout (dBm/bin)</v>
      </c>
      <c r="C152" s="70">
        <f>C$141-C$95</f>
        <v>-45.112417668285232</v>
      </c>
      <c r="D152" s="83">
        <f>D$141-D$95</f>
        <v>-49.13172689857732</v>
      </c>
    </row>
    <row r="153" spans="2:19" ht="15" thickBot="1" x14ac:dyDescent="0.25">
      <c r="B153" s="84" t="str">
        <f>'Parameters List'!B153</f>
        <v>Beam Total Noise @ADCout (dBm/bin)</v>
      </c>
      <c r="C153" s="85">
        <f>10*LOG10(10 ^ ((C$137 + C$96 - (20*LOG10(C$34) - 2*C$35) * (C$34&gt;1))/ 10) + 10 ^ ((C$94 - (10*LOG10(C$34) - C$35) * (C$34&gt;1)) / 10)) - C$95</f>
        <v>-32.874047708598773</v>
      </c>
      <c r="D153" s="86">
        <f>10*LOG10(10 ^ ((D$137 + D$96 - (20*LOG10(D$34) - 2*D$35) * (D$34&gt;1))/ 10) + 10 ^ ((D$94 - (10*LOG10(D$34) - D$35) * (D$34&gt;1)) / 10)) - D$95</f>
        <v>-32.879248337423064</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'General System Parameters'!B9</f>
        <v># Rcvrs</v>
      </c>
      <c r="C155" s="33">
        <f>'General System Parameters'!C9</f>
        <v>5</v>
      </c>
      <c r="F155" s="43"/>
      <c r="G155" s="43"/>
      <c r="H155" s="43"/>
      <c r="I155" s="43"/>
      <c r="J155" s="43"/>
      <c r="K155" s="43"/>
      <c r="L155" s="43"/>
      <c r="M155" s="43"/>
      <c r="N155" s="43"/>
      <c r="O155" s="43"/>
      <c r="P155" s="43"/>
      <c r="Q155" s="43"/>
      <c r="R155" s="43"/>
      <c r="S155" s="43"/>
    </row>
    <row r="156" spans="2:19" x14ac:dyDescent="0.2">
      <c r="B156" s="32" t="str">
        <f>'General System Parameters'!B10</f>
        <v># Patches in 1st Rx</v>
      </c>
      <c r="C156" s="33">
        <f>'General System Parameters'!C10</f>
        <v>10</v>
      </c>
      <c r="F156" s="43"/>
      <c r="G156" s="43"/>
      <c r="H156" s="43"/>
      <c r="I156" s="43"/>
      <c r="J156" s="43"/>
      <c r="K156" s="43"/>
      <c r="L156" s="43"/>
      <c r="M156" s="43"/>
      <c r="N156" s="43"/>
      <c r="O156" s="43"/>
      <c r="P156" s="43"/>
      <c r="Q156" s="43"/>
      <c r="R156" s="43"/>
      <c r="S156" s="43"/>
    </row>
    <row r="157" spans="2:19" x14ac:dyDescent="0.2">
      <c r="B157" s="32" t="str">
        <f>'General System Parameters'!B11</f>
        <v># Patches in Ref (Guard) Rx</v>
      </c>
      <c r="C157" s="33">
        <f>'General System Parameters'!C11</f>
        <v>1</v>
      </c>
      <c r="F157" s="43"/>
      <c r="G157" s="43"/>
      <c r="H157" s="43"/>
      <c r="I157" s="43"/>
      <c r="J157" s="43"/>
      <c r="K157" s="43"/>
      <c r="L157" s="43"/>
      <c r="M157" s="43"/>
      <c r="N157" s="43"/>
      <c r="O157" s="43"/>
      <c r="P157" s="43"/>
      <c r="Q157" s="43"/>
      <c r="R157" s="43"/>
      <c r="S157" s="43"/>
    </row>
    <row r="158" spans="2:19" x14ac:dyDescent="0.2">
      <c r="B158" s="32" t="str">
        <f>'General System Parameters'!B12</f>
        <v>Typical System Gain (dB) - 1st Rx</v>
      </c>
      <c r="C158" s="33">
        <f>'General System Parameters'!C12</f>
        <v>59.76</v>
      </c>
      <c r="F158" s="43"/>
      <c r="G158" s="43"/>
      <c r="H158" s="43"/>
      <c r="I158" s="43"/>
      <c r="J158" s="43"/>
      <c r="K158" s="43"/>
      <c r="L158" s="43"/>
      <c r="M158" s="43"/>
      <c r="N158" s="43"/>
      <c r="O158" s="43"/>
      <c r="P158" s="43"/>
      <c r="Q158" s="43"/>
      <c r="R158" s="43"/>
      <c r="S158" s="43"/>
    </row>
    <row r="159" spans="2:19" x14ac:dyDescent="0.2">
      <c r="B159" s="32" t="str">
        <f>'General System Parameters'!B13</f>
        <v>Typical System Gain (dB) - Ref (Guard) Rx</v>
      </c>
      <c r="C159" s="33">
        <f>'General System Parameters'!C13</f>
        <v>54.1</v>
      </c>
      <c r="F159" s="43"/>
      <c r="G159" s="43"/>
      <c r="H159" s="43"/>
      <c r="I159" s="43"/>
      <c r="J159" s="43"/>
      <c r="K159" s="43"/>
      <c r="L159" s="43"/>
      <c r="M159" s="43"/>
      <c r="N159" s="43"/>
      <c r="O159" s="43"/>
      <c r="P159" s="43"/>
      <c r="Q159" s="43"/>
      <c r="R159" s="43"/>
      <c r="S159" s="43"/>
    </row>
    <row r="160" spans="2:19" x14ac:dyDescent="0.2">
      <c r="B160" s="32" t="str">
        <f>'General System Parameters'!B14</f>
        <v>Typical 1st Rx Calibration (dB)</v>
      </c>
      <c r="C160" s="33">
        <f>'General System Parameters'!C14</f>
        <v>4.3400000000000105</v>
      </c>
      <c r="F160" s="43"/>
      <c r="G160" s="43"/>
      <c r="H160" s="43"/>
      <c r="I160" s="43"/>
      <c r="J160" s="43"/>
      <c r="K160" s="43"/>
      <c r="L160" s="43"/>
      <c r="M160" s="43"/>
      <c r="N160" s="43"/>
      <c r="O160" s="43"/>
      <c r="P160" s="43"/>
      <c r="Q160" s="43"/>
      <c r="R160" s="43"/>
      <c r="S160" s="43"/>
    </row>
    <row r="161" spans="2:19" x14ac:dyDescent="0.2">
      <c r="B161" s="32" t="str">
        <f>'General System Parameters'!B15</f>
        <v>System Propagation Delay (us)</v>
      </c>
      <c r="C161" s="33">
        <f>'General System Parameters'!C15</f>
        <v>0.15</v>
      </c>
      <c r="F161" s="43"/>
      <c r="G161" s="43"/>
      <c r="H161" s="43"/>
      <c r="I161" s="43"/>
      <c r="J161" s="43"/>
      <c r="K161" s="43"/>
      <c r="L161" s="43"/>
      <c r="M161" s="43"/>
      <c r="N161" s="43"/>
      <c r="O161" s="43"/>
      <c r="P161" s="43"/>
      <c r="Q161" s="43"/>
      <c r="R161" s="43"/>
      <c r="S161" s="43"/>
    </row>
    <row r="162" spans="2:19" x14ac:dyDescent="0.2">
      <c r="B162" s="32" t="str">
        <f>'General System Parameters'!B16</f>
        <v>c (m/s)</v>
      </c>
      <c r="C162" s="33">
        <f>'General System Parameters'!C16</f>
        <v>299792458</v>
      </c>
      <c r="F162" s="43"/>
      <c r="G162" s="43"/>
      <c r="H162" s="43"/>
      <c r="I162" s="43"/>
      <c r="J162" s="43"/>
      <c r="K162" s="43"/>
      <c r="L162" s="43"/>
      <c r="M162" s="43"/>
      <c r="N162" s="43"/>
      <c r="O162" s="43"/>
      <c r="P162" s="43"/>
      <c r="Q162" s="43"/>
      <c r="R162" s="43"/>
      <c r="S162" s="43"/>
    </row>
    <row r="163" spans="2:19" x14ac:dyDescent="0.2">
      <c r="B163" s="32" t="str">
        <f>'General System Parameters'!B17</f>
        <v>c/2 (m/μs)</v>
      </c>
      <c r="C163" s="33">
        <f>'General System Parameters'!C17</f>
        <v>149.89622900000001</v>
      </c>
      <c r="F163" s="43"/>
      <c r="G163" s="43"/>
      <c r="H163" s="43"/>
      <c r="I163" s="43"/>
      <c r="J163" s="43"/>
      <c r="K163" s="43"/>
      <c r="L163" s="43"/>
      <c r="M163" s="43"/>
      <c r="N163" s="43"/>
      <c r="O163" s="43"/>
      <c r="P163" s="43"/>
      <c r="Q163" s="43"/>
      <c r="R163" s="43"/>
      <c r="S163" s="43"/>
    </row>
    <row r="164" spans="2:19" x14ac:dyDescent="0.2">
      <c r="B164" s="30" t="str">
        <f>'General System Parameters'!B18</f>
        <v>Freq (GHz)</v>
      </c>
      <c r="C164" s="31">
        <f>'General System Parameters'!C18</f>
        <v>3.5</v>
      </c>
      <c r="F164" s="43"/>
      <c r="G164" s="43"/>
      <c r="H164" s="43"/>
      <c r="I164" s="43"/>
      <c r="J164" s="43"/>
      <c r="K164" s="43"/>
      <c r="L164" s="43"/>
      <c r="M164" s="43"/>
      <c r="N164" s="43"/>
      <c r="O164" s="43"/>
      <c r="P164" s="43"/>
      <c r="Q164" s="43"/>
      <c r="R164" s="43"/>
      <c r="S164" s="43"/>
    </row>
    <row r="165" spans="2:19" x14ac:dyDescent="0.2">
      <c r="B165" s="30" t="str">
        <f>'General System Parameters'!B19</f>
        <v>Phase Noise Level (dBc/Hz)</v>
      </c>
      <c r="C165" s="31">
        <f>'General System Parameters'!C19</f>
        <v>-125</v>
      </c>
      <c r="F165" s="43"/>
      <c r="G165" s="43"/>
      <c r="H165" s="43"/>
      <c r="I165" s="43"/>
      <c r="J165" s="43"/>
      <c r="K165" s="43"/>
      <c r="L165" s="43"/>
      <c r="M165" s="43"/>
      <c r="N165" s="43"/>
      <c r="O165" s="43"/>
      <c r="P165" s="43"/>
      <c r="Q165" s="43"/>
      <c r="R165" s="43"/>
      <c r="S165" s="43"/>
    </row>
    <row r="166" spans="2:19" x14ac:dyDescent="0.2">
      <c r="B166" s="30" t="str">
        <f>'General System Parameters'!B20</f>
        <v>Polarization Loss (dB)</v>
      </c>
      <c r="C166" s="31">
        <f>'General System Parameters'!C20</f>
        <v>0</v>
      </c>
      <c r="F166" s="43"/>
      <c r="G166" s="43"/>
      <c r="H166" s="43"/>
      <c r="I166" s="43"/>
      <c r="J166" s="43"/>
      <c r="K166" s="43"/>
      <c r="L166" s="43"/>
      <c r="M166" s="43"/>
      <c r="N166" s="43"/>
      <c r="O166" s="43"/>
      <c r="P166" s="43"/>
      <c r="Q166" s="43"/>
      <c r="R166" s="43"/>
      <c r="S166" s="43"/>
    </row>
    <row r="167" spans="2:19" x14ac:dyDescent="0.2">
      <c r="B167" s="34" t="str">
        <f>'General System Parameters'!B21</f>
        <v>λ (m)</v>
      </c>
      <c r="C167" s="35">
        <f>'General System Parameters'!C21</f>
        <v>8.5654988000000001E-2</v>
      </c>
      <c r="F167" s="43"/>
      <c r="G167" s="43"/>
      <c r="H167" s="43"/>
      <c r="I167" s="43"/>
      <c r="J167" s="43"/>
      <c r="K167" s="43"/>
      <c r="L167" s="43"/>
      <c r="M167" s="43"/>
      <c r="N167" s="43"/>
      <c r="O167" s="43"/>
      <c r="P167" s="43"/>
      <c r="Q167" s="43"/>
      <c r="R167" s="43"/>
      <c r="S167" s="43"/>
    </row>
    <row r="168" spans="2:19" x14ac:dyDescent="0.2">
      <c r="B168" s="34" t="str">
        <f>'General System Parameters'!B22</f>
        <v>Doppler factor (Hz/(m/sec))</v>
      </c>
      <c r="C168" s="35">
        <f>'General System Parameters'!C22</f>
        <v>23.349486663870643</v>
      </c>
      <c r="F168" s="43"/>
      <c r="G168" s="43"/>
      <c r="H168" s="43"/>
      <c r="I168" s="43"/>
      <c r="J168" s="43"/>
      <c r="K168" s="43"/>
      <c r="L168" s="43"/>
      <c r="M168" s="43"/>
      <c r="N168" s="43"/>
      <c r="O168" s="43"/>
      <c r="P168" s="43"/>
      <c r="Q168" s="43"/>
      <c r="R168" s="43"/>
      <c r="S168" s="43"/>
    </row>
    <row r="169" spans="2:19" x14ac:dyDescent="0.2">
      <c r="B169" s="36" t="str">
        <f>'General System Parameters'!B23</f>
        <v>ALC</v>
      </c>
      <c r="C169" s="31">
        <f>'General System Parameters'!C23</f>
        <v>0</v>
      </c>
      <c r="F169" s="43"/>
      <c r="G169" s="43"/>
      <c r="H169" s="43"/>
      <c r="I169" s="43"/>
      <c r="J169" s="43"/>
      <c r="K169" s="43"/>
      <c r="L169" s="43"/>
      <c r="M169" s="43"/>
      <c r="N169" s="43"/>
      <c r="O169" s="43"/>
      <c r="P169" s="43"/>
      <c r="Q169" s="43"/>
      <c r="R169" s="43"/>
      <c r="S169" s="43"/>
    </row>
    <row r="170" spans="2:19" x14ac:dyDescent="0.2">
      <c r="B170" s="36" t="str">
        <f>'General System Parameters'!B24</f>
        <v>Actual System Gain (dB) - 1st Rx</v>
      </c>
      <c r="C170" s="31">
        <f>'General System Parameters'!C24</f>
        <v>60</v>
      </c>
      <c r="F170" s="43"/>
      <c r="G170" s="43"/>
      <c r="H170" s="43"/>
      <c r="I170" s="43"/>
      <c r="J170" s="43"/>
      <c r="K170" s="43"/>
      <c r="L170" s="43"/>
      <c r="M170" s="43"/>
      <c r="N170" s="43"/>
      <c r="O170" s="43"/>
      <c r="P170" s="43"/>
      <c r="Q170" s="43"/>
      <c r="R170" s="43"/>
      <c r="S170" s="43"/>
    </row>
    <row r="171" spans="2:19" x14ac:dyDescent="0.2">
      <c r="B171" s="36" t="str">
        <f>'General System Parameters'!B25</f>
        <v>Actual System Gain (dB) - Ref Rx</v>
      </c>
      <c r="C171" s="31">
        <f>'General System Parameters'!C25</f>
        <v>54</v>
      </c>
      <c r="F171" s="43"/>
      <c r="G171" s="43"/>
      <c r="H171" s="43"/>
      <c r="I171" s="43"/>
      <c r="J171" s="43"/>
      <c r="K171" s="43"/>
      <c r="L171" s="43"/>
      <c r="M171" s="43"/>
      <c r="N171" s="43"/>
      <c r="O171" s="43"/>
      <c r="P171" s="43"/>
      <c r="Q171" s="43"/>
      <c r="R171" s="43"/>
      <c r="S171" s="43"/>
    </row>
    <row r="172" spans="2:19" x14ac:dyDescent="0.2">
      <c r="B172" s="34" t="str">
        <f>'General System Parameters'!B26</f>
        <v>Actual 1st Rx Calibration (dB)</v>
      </c>
      <c r="C172" s="35">
        <f>'General System Parameters'!C26</f>
        <v>4</v>
      </c>
      <c r="F172" s="43"/>
      <c r="G172" s="43"/>
      <c r="H172" s="43"/>
      <c r="I172" s="43"/>
      <c r="J172" s="43"/>
      <c r="K172" s="43"/>
      <c r="L172" s="43"/>
      <c r="M172" s="43"/>
      <c r="N172" s="43"/>
      <c r="O172" s="43"/>
      <c r="P172" s="43"/>
      <c r="Q172" s="43"/>
      <c r="R172" s="43"/>
      <c r="S172" s="43"/>
    </row>
    <row r="173" spans="2:19" x14ac:dyDescent="0.2">
      <c r="B173" s="32" t="str">
        <f>'General System Parameters'!B27</f>
        <v>KT (dBm/Hz)</v>
      </c>
      <c r="C173" s="33">
        <f>'General System Parameters'!C27</f>
        <v>-174</v>
      </c>
      <c r="F173" s="43"/>
      <c r="G173" s="43"/>
      <c r="H173" s="43"/>
      <c r="I173" s="43"/>
      <c r="J173" s="43"/>
      <c r="K173" s="43"/>
      <c r="L173" s="43"/>
      <c r="M173" s="43"/>
      <c r="N173" s="43"/>
      <c r="O173" s="43"/>
      <c r="P173" s="43"/>
      <c r="Q173" s="43"/>
      <c r="R173" s="43"/>
      <c r="S173" s="43"/>
    </row>
    <row r="174" spans="2:19" x14ac:dyDescent="0.2">
      <c r="B174" s="32" t="str">
        <f>'General System Parameters'!B28</f>
        <v>Sample Period (us)</v>
      </c>
      <c r="C174" s="33">
        <f>'General System Parameters'!C28</f>
        <v>1.2500000000000001E-2</v>
      </c>
      <c r="F174" s="43"/>
      <c r="G174" s="43"/>
      <c r="H174" s="43"/>
      <c r="I174" s="43"/>
      <c r="J174" s="43"/>
      <c r="K174" s="43"/>
      <c r="L174" s="43"/>
      <c r="M174" s="43"/>
      <c r="N174" s="43"/>
      <c r="O174" s="43"/>
      <c r="P174" s="43"/>
      <c r="Q174" s="43"/>
      <c r="R174" s="43"/>
      <c r="S174" s="43"/>
    </row>
    <row r="175" spans="2:19" x14ac:dyDescent="0.2">
      <c r="B175" s="37" t="str">
        <f>'General System Parameters'!B29</f>
        <v>ADC Bandwidth (MHz)</v>
      </c>
      <c r="C175" s="35">
        <f>'General System Parameters'!C29</f>
        <v>40</v>
      </c>
      <c r="F175" s="43"/>
      <c r="G175" s="43"/>
      <c r="H175" s="43"/>
      <c r="I175" s="43"/>
      <c r="J175" s="43"/>
      <c r="K175" s="43"/>
      <c r="L175" s="43"/>
      <c r="M175" s="43"/>
      <c r="N175" s="43"/>
      <c r="O175" s="43"/>
      <c r="P175" s="43"/>
      <c r="Q175" s="43"/>
      <c r="R175" s="43"/>
      <c r="S175" s="43"/>
    </row>
    <row r="176" spans="2:19" x14ac:dyDescent="0.2">
      <c r="B176" s="32" t="str">
        <f>'General System Parameters'!B30</f>
        <v>ADC Noise Level (dBm)</v>
      </c>
      <c r="C176" s="33">
        <f>'General System Parameters'!C30</f>
        <v>-65</v>
      </c>
      <c r="F176" s="43"/>
      <c r="G176" s="43"/>
      <c r="H176" s="43"/>
      <c r="I176" s="43"/>
      <c r="J176" s="43"/>
      <c r="K176" s="43"/>
      <c r="L176" s="43"/>
      <c r="M176" s="43"/>
      <c r="N176" s="43"/>
      <c r="O176" s="43"/>
      <c r="P176" s="43"/>
      <c r="Q176" s="43"/>
      <c r="R176" s="43"/>
      <c r="S176" s="43"/>
    </row>
    <row r="177" spans="2:19" x14ac:dyDescent="0.2">
      <c r="B177" s="32" t="str">
        <f>'General System Parameters'!B31</f>
        <v>Tapering Signal Gain Loss (dB) - 1st Rx</v>
      </c>
      <c r="C177" s="33">
        <f>'General System Parameters'!C31</f>
        <v>3.51</v>
      </c>
      <c r="F177" s="43"/>
      <c r="G177" s="43"/>
      <c r="H177" s="43"/>
      <c r="I177" s="43"/>
      <c r="J177" s="43"/>
      <c r="K177" s="43"/>
      <c r="L177" s="43"/>
      <c r="M177" s="43"/>
      <c r="N177" s="43"/>
      <c r="O177" s="43"/>
      <c r="P177" s="43"/>
      <c r="Q177" s="43"/>
      <c r="R177" s="43"/>
      <c r="S177" s="43"/>
    </row>
    <row r="178" spans="2:19" x14ac:dyDescent="0.2">
      <c r="B178" s="32" t="str">
        <f>'General System Parameters'!B32</f>
        <v>Tapering Noise Gain Loss (dB) - 1st Rx</v>
      </c>
      <c r="C178" s="33">
        <f>'General System Parameters'!C32</f>
        <v>3.1337000000000002</v>
      </c>
      <c r="F178" s="43"/>
      <c r="G178" s="43"/>
      <c r="H178" s="43"/>
      <c r="I178" s="43"/>
      <c r="J178" s="43"/>
      <c r="K178" s="43"/>
      <c r="L178" s="43"/>
      <c r="M178" s="43"/>
      <c r="N178" s="43"/>
      <c r="O178" s="43"/>
      <c r="P178" s="43"/>
      <c r="Q178" s="43"/>
      <c r="R178" s="43"/>
      <c r="S178" s="43"/>
    </row>
    <row r="179" spans="2:19" x14ac:dyDescent="0.2">
      <c r="B179" s="32" t="str">
        <f>'General System Parameters'!B33</f>
        <v>Tapering Signal Gain Loss (dB) - Ref (Guard) Rx</v>
      </c>
      <c r="C179" s="33">
        <f>'General System Parameters'!C33</f>
        <v>0</v>
      </c>
      <c r="F179" s="43"/>
      <c r="G179" s="43"/>
      <c r="H179" s="43"/>
      <c r="I179" s="43"/>
      <c r="J179" s="43"/>
      <c r="K179" s="43"/>
      <c r="L179" s="43"/>
      <c r="M179" s="43"/>
      <c r="N179" s="43"/>
      <c r="O179" s="43"/>
      <c r="P179" s="43"/>
      <c r="Q179" s="43"/>
      <c r="R179" s="43"/>
      <c r="S179" s="43"/>
    </row>
    <row r="180" spans="2:19" x14ac:dyDescent="0.2">
      <c r="B180" s="32" t="str">
        <f>'General System Parameters'!B34</f>
        <v>Tapering Noise Gain Loss (dB) - Ref (Guard) Rx</v>
      </c>
      <c r="C180" s="33">
        <f>'General System Parameters'!C34</f>
        <v>0</v>
      </c>
      <c r="F180" s="43"/>
      <c r="G180" s="43"/>
      <c r="H180" s="43"/>
      <c r="I180" s="43"/>
      <c r="J180" s="43"/>
      <c r="K180" s="43"/>
      <c r="L180" s="43"/>
      <c r="M180" s="43"/>
      <c r="N180" s="43"/>
      <c r="O180" s="43"/>
      <c r="P180" s="43"/>
      <c r="Q180" s="43"/>
      <c r="R180" s="43"/>
      <c r="S180" s="43"/>
    </row>
    <row r="181" spans="2:19" x14ac:dyDescent="0.2">
      <c r="B181" s="37" t="str">
        <f>'General System Parameters'!B35</f>
        <v>Tapering Rx Loss (dB)</v>
      </c>
      <c r="C181" s="35">
        <f>'General System Parameters'!C35</f>
        <v>0.37629999999999963</v>
      </c>
      <c r="F181" s="43"/>
      <c r="G181" s="43"/>
      <c r="H181" s="43"/>
      <c r="I181" s="43"/>
      <c r="J181" s="43"/>
      <c r="K181" s="43"/>
      <c r="L181" s="43"/>
      <c r="M181" s="43"/>
      <c r="N181" s="43"/>
      <c r="O181" s="43"/>
      <c r="P181" s="43"/>
      <c r="Q181" s="43"/>
      <c r="R181" s="43"/>
      <c r="S181" s="43"/>
    </row>
    <row r="182" spans="2:19" x14ac:dyDescent="0.2">
      <c r="B182" s="30" t="str">
        <f>'General System Parameters'!B36</f>
        <v>Number of T/R modules</v>
      </c>
      <c r="C182" s="31">
        <f>'General System Parameters'!C36</f>
        <v>41</v>
      </c>
      <c r="F182" s="43"/>
      <c r="G182" s="43"/>
      <c r="H182" s="43"/>
      <c r="I182" s="43"/>
      <c r="J182" s="43"/>
      <c r="K182" s="43"/>
      <c r="L182" s="43"/>
      <c r="M182" s="43"/>
      <c r="N182" s="43"/>
      <c r="O182" s="43"/>
      <c r="P182" s="43"/>
      <c r="Q182" s="43"/>
      <c r="R182" s="43"/>
      <c r="S182" s="43"/>
    </row>
    <row r="183" spans="2:19" x14ac:dyDescent="0.2">
      <c r="B183" s="30" t="str">
        <f>'General System Parameters'!B37</f>
        <v>Power per T/R module</v>
      </c>
      <c r="C183" s="31">
        <f>'General System Parameters'!C37</f>
        <v>10</v>
      </c>
      <c r="F183" s="43"/>
      <c r="G183" s="43"/>
      <c r="H183" s="43"/>
      <c r="I183" s="43"/>
      <c r="J183" s="43"/>
      <c r="K183" s="43"/>
      <c r="L183" s="43"/>
      <c r="M183" s="43"/>
      <c r="N183" s="43"/>
      <c r="O183" s="43"/>
      <c r="P183" s="43"/>
      <c r="Q183" s="43"/>
      <c r="R183" s="43"/>
      <c r="S183" s="43"/>
    </row>
    <row r="184" spans="2:19" x14ac:dyDescent="0.2">
      <c r="B184" s="30" t="str">
        <f>'General System Parameters'!B38</f>
        <v>Gain per T/R module [dB]</v>
      </c>
      <c r="C184" s="31">
        <f>'General System Parameters'!C38</f>
        <v>5</v>
      </c>
      <c r="F184" s="43"/>
      <c r="G184" s="43"/>
      <c r="H184" s="43"/>
      <c r="I184" s="43"/>
      <c r="J184" s="43"/>
      <c r="K184" s="43"/>
      <c r="L184" s="43"/>
      <c r="M184" s="43"/>
      <c r="N184" s="43"/>
      <c r="O184" s="43"/>
      <c r="P184" s="43"/>
      <c r="Q184" s="43"/>
      <c r="R184" s="43"/>
      <c r="S184" s="43"/>
    </row>
    <row r="185" spans="2:19" x14ac:dyDescent="0.2">
      <c r="B185" s="37" t="str">
        <f>'General System Parameters'!B39</f>
        <v>Available Power (dBm)</v>
      </c>
      <c r="C185" s="35">
        <f>'General System Parameters'!C39</f>
        <v>56.127838567197358</v>
      </c>
      <c r="F185" s="43"/>
      <c r="G185" s="43"/>
      <c r="H185" s="43"/>
      <c r="I185" s="43"/>
      <c r="J185" s="43"/>
      <c r="K185" s="43"/>
      <c r="L185" s="43"/>
      <c r="M185" s="43"/>
      <c r="N185" s="43"/>
      <c r="O185" s="43"/>
      <c r="P185" s="43"/>
      <c r="Q185" s="43"/>
      <c r="R185" s="43"/>
      <c r="S185" s="43"/>
    </row>
    <row r="186" spans="2:19" x14ac:dyDescent="0.2">
      <c r="B186" s="37" t="str">
        <f>'General System Parameters'!B40</f>
        <v>Gt,Gr</v>
      </c>
      <c r="C186" s="35">
        <f>'General System Parameters'!C40</f>
        <v>21.127838567197355</v>
      </c>
      <c r="F186" s="43"/>
      <c r="G186" s="43"/>
      <c r="H186" s="43"/>
      <c r="I186" s="43"/>
      <c r="J186" s="43"/>
      <c r="K186" s="43"/>
      <c r="L186" s="43"/>
      <c r="M186" s="43"/>
      <c r="N186" s="43"/>
      <c r="O186" s="43"/>
      <c r="P186" s="43"/>
      <c r="Q186" s="43"/>
      <c r="R186" s="43"/>
      <c r="S186" s="43"/>
    </row>
    <row r="187" spans="2:19" x14ac:dyDescent="0.2">
      <c r="B187" s="37" t="str">
        <f>'General System Parameters'!B41</f>
        <v>Gr - 1st Rx</v>
      </c>
      <c r="C187" s="35">
        <f>'General System Parameters'!C41</f>
        <v>15</v>
      </c>
      <c r="F187" s="43"/>
      <c r="G187" s="43"/>
      <c r="H187" s="43"/>
      <c r="I187" s="43"/>
      <c r="J187" s="43"/>
      <c r="K187" s="43"/>
      <c r="L187" s="43"/>
      <c r="M187" s="43"/>
      <c r="N187" s="43"/>
      <c r="O187" s="43"/>
      <c r="P187" s="43"/>
      <c r="Q187" s="43"/>
      <c r="R187" s="43"/>
      <c r="S187" s="43"/>
    </row>
    <row r="188" spans="2:19" x14ac:dyDescent="0.2">
      <c r="B188" s="37" t="str">
        <f>'General System Parameters'!B42</f>
        <v>Gr - Ref (Guard) Rx</v>
      </c>
      <c r="C188" s="35">
        <f>'General System Parameters'!C42</f>
        <v>5</v>
      </c>
      <c r="F188" s="43"/>
      <c r="G188" s="43"/>
      <c r="H188" s="43"/>
      <c r="I188" s="43"/>
      <c r="J188" s="43"/>
      <c r="K188" s="43"/>
      <c r="L188" s="43"/>
      <c r="M188" s="43"/>
      <c r="N188" s="43"/>
      <c r="O188" s="43"/>
      <c r="P188" s="43"/>
      <c r="Q188" s="43"/>
      <c r="R188" s="43"/>
      <c r="S188" s="43"/>
    </row>
    <row r="189" spans="2:19" x14ac:dyDescent="0.2">
      <c r="B189" s="37" t="str">
        <f>'General System Parameters'!B43</f>
        <v>λ2 (dB/m2)</v>
      </c>
      <c r="C189" s="35">
        <f>'General System Parameters'!C43</f>
        <v>-21.344946828446961</v>
      </c>
      <c r="F189" s="43"/>
      <c r="G189" s="43"/>
      <c r="H189" s="43"/>
      <c r="I189" s="43"/>
      <c r="J189" s="43"/>
      <c r="K189" s="43"/>
      <c r="L189" s="43"/>
      <c r="M189" s="43"/>
      <c r="N189" s="43"/>
      <c r="O189" s="43"/>
      <c r="P189" s="43"/>
      <c r="Q189" s="43"/>
      <c r="R189" s="43"/>
      <c r="S189" s="43"/>
    </row>
    <row r="190" spans="2:19" x14ac:dyDescent="0.2">
      <c r="B190" s="34" t="str">
        <f>'General System Parameters'!B44</f>
        <v>(4p)^3 (dB)</v>
      </c>
      <c r="C190" s="35">
        <f>'General System Parameters'!C44</f>
        <v>32.976295920662885</v>
      </c>
      <c r="F190" s="43"/>
      <c r="G190" s="43"/>
      <c r="H190" s="43"/>
      <c r="I190" s="43"/>
      <c r="J190" s="43"/>
      <c r="K190" s="43"/>
      <c r="L190" s="43"/>
      <c r="M190" s="43"/>
      <c r="N190" s="43"/>
      <c r="O190" s="43"/>
      <c r="P190" s="43"/>
      <c r="Q190" s="43"/>
      <c r="R190" s="43"/>
      <c r="S190" s="43"/>
    </row>
    <row r="191" spans="2:19" x14ac:dyDescent="0.2">
      <c r="B191" s="34" t="str">
        <f>'General System Parameters'!B45</f>
        <v>Miscellaneous Losses (dB)</v>
      </c>
      <c r="C191" s="35">
        <f>'General System Parameters'!C45</f>
        <v>0</v>
      </c>
      <c r="F191" s="43"/>
      <c r="G191" s="43"/>
      <c r="H191" s="43"/>
      <c r="I191" s="43"/>
      <c r="J191" s="43"/>
      <c r="K191" s="43"/>
      <c r="L191" s="43"/>
      <c r="M191" s="43"/>
      <c r="N191" s="43"/>
      <c r="O191" s="43"/>
      <c r="P191" s="43"/>
      <c r="Q191" s="43"/>
      <c r="R191" s="43"/>
      <c r="S191" s="43"/>
    </row>
    <row r="192" spans="2:19" x14ac:dyDescent="0.2">
      <c r="B192" s="36" t="str">
        <f>'General System Parameters'!B46</f>
        <v>FFT Window: BH</v>
      </c>
      <c r="C192" s="31" t="str">
        <f>'General System Parameters'!C46</f>
        <v>BH</v>
      </c>
      <c r="F192" s="43"/>
      <c r="G192" s="43"/>
      <c r="H192" s="43"/>
      <c r="I192" s="43"/>
      <c r="J192" s="43"/>
      <c r="K192" s="43"/>
      <c r="L192" s="43"/>
      <c r="M192" s="43"/>
      <c r="N192" s="43"/>
      <c r="O192" s="43"/>
      <c r="P192" s="43"/>
      <c r="Q192" s="43"/>
      <c r="R192" s="43"/>
      <c r="S192" s="43"/>
    </row>
    <row r="193" spans="2:19" x14ac:dyDescent="0.2">
      <c r="B193" s="34" t="str">
        <f>'General System Parameters'!B47</f>
        <v>Signal Gain Loss (dB)</v>
      </c>
      <c r="C193" s="35">
        <f>'General System Parameters'!C47</f>
        <v>8.9499999999999993</v>
      </c>
      <c r="F193" s="43"/>
      <c r="G193" s="43"/>
      <c r="H193" s="43"/>
      <c r="I193" s="43"/>
      <c r="J193" s="43"/>
      <c r="K193" s="43"/>
      <c r="L193" s="43"/>
      <c r="M193" s="43"/>
      <c r="N193" s="43"/>
      <c r="O193" s="43"/>
      <c r="P193" s="43"/>
      <c r="Q193" s="43"/>
      <c r="R193" s="43"/>
      <c r="S193" s="43"/>
    </row>
    <row r="194" spans="2:19" x14ac:dyDescent="0.2">
      <c r="B194" s="34" t="str">
        <f>'General System Parameters'!B48</f>
        <v>Noise Gain Loss (dB)</v>
      </c>
      <c r="C194" s="35">
        <f>'General System Parameters'!C48</f>
        <v>5.9</v>
      </c>
      <c r="F194" s="43"/>
      <c r="G194" s="43"/>
      <c r="H194" s="43"/>
      <c r="I194" s="43"/>
      <c r="J194" s="43"/>
      <c r="K194" s="43"/>
      <c r="L194" s="43"/>
      <c r="M194" s="43"/>
      <c r="N194" s="43"/>
      <c r="O194" s="43"/>
      <c r="P194" s="43"/>
      <c r="Q194" s="43"/>
      <c r="R194" s="43"/>
      <c r="S194" s="43"/>
    </row>
    <row r="195" spans="2:19" x14ac:dyDescent="0.2">
      <c r="B195" s="34" t="str">
        <f>'General System Parameters'!B49</f>
        <v>Normalized ENBW (dB)</v>
      </c>
      <c r="C195" s="35">
        <f>'General System Parameters'!C49</f>
        <v>3.0499999999999989</v>
      </c>
      <c r="F195" s="43"/>
      <c r="G195" s="43"/>
      <c r="H195" s="43"/>
      <c r="I195" s="43"/>
      <c r="J195" s="43"/>
      <c r="K195" s="43"/>
      <c r="L195" s="43"/>
      <c r="M195" s="43"/>
      <c r="N195" s="43"/>
      <c r="O195" s="43"/>
      <c r="P195" s="43"/>
      <c r="Q195" s="43"/>
      <c r="R195" s="43"/>
      <c r="S195" s="43"/>
    </row>
    <row r="196" spans="2:19" x14ac:dyDescent="0.2">
      <c r="B196" s="34" t="str">
        <f>'General System Parameters'!B50</f>
        <v>Window 3dB BW (bins)</v>
      </c>
      <c r="C196" s="35">
        <f>'General System Parameters'!C50</f>
        <v>1.9</v>
      </c>
      <c r="F196" s="43"/>
      <c r="G196" s="43"/>
      <c r="H196" s="43"/>
      <c r="I196" s="43"/>
      <c r="J196" s="43"/>
      <c r="K196" s="43"/>
      <c r="L196" s="43"/>
      <c r="M196" s="43"/>
      <c r="N196" s="43"/>
      <c r="O196" s="43"/>
      <c r="P196" s="43"/>
      <c r="Q196" s="43"/>
      <c r="R196" s="43"/>
      <c r="S196" s="43"/>
    </row>
    <row r="197" spans="2:19" x14ac:dyDescent="0.2">
      <c r="B197" s="34" t="str">
        <f>'General System Parameters'!B51</f>
        <v>Window 6dB BW (bins)</v>
      </c>
      <c r="C197" s="35">
        <f>'General System Parameters'!C51</f>
        <v>2.72</v>
      </c>
      <c r="F197" s="43"/>
      <c r="G197" s="43"/>
      <c r="H197" s="43"/>
      <c r="I197" s="43"/>
      <c r="J197" s="43"/>
      <c r="K197" s="43"/>
      <c r="L197" s="43"/>
      <c r="M197" s="43"/>
      <c r="N197" s="43"/>
      <c r="O197" s="43"/>
      <c r="P197" s="43"/>
      <c r="Q197" s="43"/>
      <c r="R197" s="43"/>
      <c r="S197" s="43"/>
    </row>
    <row r="198" spans="2:19" x14ac:dyDescent="0.2">
      <c r="B198" s="34" t="str">
        <f>'General System Parameters'!B52</f>
        <v>Scallop Loss (dB)</v>
      </c>
      <c r="C198" s="35">
        <f>'General System Parameters'!C52</f>
        <v>0.41278500000000001</v>
      </c>
      <c r="F198" s="43"/>
      <c r="G198" s="43"/>
      <c r="H198" s="43"/>
      <c r="I198" s="43"/>
      <c r="J198" s="43"/>
      <c r="K198" s="43"/>
      <c r="L198" s="43"/>
      <c r="M198" s="43"/>
      <c r="N198" s="43"/>
      <c r="O198" s="43"/>
      <c r="P198" s="43"/>
      <c r="Q198" s="43"/>
      <c r="R198" s="43"/>
      <c r="S198" s="43"/>
    </row>
    <row r="199" spans="2:19" x14ac:dyDescent="0.2">
      <c r="B199" s="32" t="str">
        <f>'General System Parameters'!B53</f>
        <v>Rectangular 6dB BW (bins)</v>
      </c>
      <c r="C199" s="33">
        <f>'General System Parameters'!C53</f>
        <v>1.21</v>
      </c>
      <c r="F199" s="43"/>
      <c r="G199" s="43"/>
      <c r="H199" s="43"/>
      <c r="I199" s="43"/>
      <c r="J199" s="43"/>
      <c r="K199" s="43"/>
      <c r="L199" s="43"/>
      <c r="M199" s="43"/>
      <c r="N199" s="43"/>
      <c r="O199" s="43"/>
      <c r="P199" s="43"/>
      <c r="Q199" s="43"/>
      <c r="R199" s="43"/>
      <c r="S199" s="43"/>
    </row>
    <row r="200" spans="2:19" x14ac:dyDescent="0.2">
      <c r="B200" s="34" t="str">
        <f>'General System Parameters'!B54</f>
        <v>Window Peak Spreading (bins)</v>
      </c>
      <c r="C200" s="35">
        <f>'General System Parameters'!C54</f>
        <v>9</v>
      </c>
      <c r="F200" s="43"/>
      <c r="G200" s="43"/>
      <c r="H200" s="43"/>
      <c r="I200" s="43"/>
      <c r="J200" s="43"/>
      <c r="K200" s="43"/>
      <c r="L200" s="43"/>
      <c r="M200" s="43"/>
      <c r="N200" s="43"/>
      <c r="O200" s="43"/>
      <c r="P200" s="43"/>
      <c r="Q200" s="43"/>
      <c r="R200" s="43"/>
      <c r="S200" s="43"/>
    </row>
    <row r="201" spans="2:19" x14ac:dyDescent="0.2">
      <c r="B201" s="36" t="str">
        <f>'General System Parameters'!B55</f>
        <v>#samples for noise estimation</v>
      </c>
      <c r="C201" s="31">
        <f>'General System Parameters'!C55</f>
        <v>12</v>
      </c>
      <c r="F201" s="43"/>
      <c r="G201" s="43"/>
      <c r="H201" s="43"/>
      <c r="I201" s="43"/>
      <c r="J201" s="43"/>
      <c r="K201" s="43"/>
      <c r="L201" s="43"/>
      <c r="M201" s="43"/>
      <c r="N201" s="43"/>
      <c r="O201" s="43"/>
      <c r="P201" s="43"/>
      <c r="Q201" s="43"/>
      <c r="R201" s="43"/>
      <c r="S201" s="43"/>
    </row>
    <row r="202" spans="2:19" x14ac:dyDescent="0.2">
      <c r="B202" s="34" t="str">
        <f>'General System Parameters'!B56</f>
        <v>Straddling Loss (dB) - w/o OL</v>
      </c>
      <c r="C202" s="35">
        <f>'General System Parameters'!C56</f>
        <v>3</v>
      </c>
    </row>
    <row r="203" spans="2:19" x14ac:dyDescent="0.2">
      <c r="B203" s="34" t="str">
        <f>'General System Parameters'!B57</f>
        <v>Straddling Loss (dB) - with 50% OL</v>
      </c>
      <c r="C203" s="35">
        <f>'General System Parameters'!C57</f>
        <v>1.25</v>
      </c>
    </row>
    <row r="204" spans="2:19" x14ac:dyDescent="0.2">
      <c r="B204" s="30" t="str">
        <f>'General System Parameters'!B58</f>
        <v>Freq Desynchronization factor (ppb)</v>
      </c>
      <c r="C204" s="31">
        <f>'General System Parameters'!C58</f>
        <v>5</v>
      </c>
    </row>
    <row r="205" spans="2:19" x14ac:dyDescent="0.2">
      <c r="B205" s="34" t="str">
        <f>'General System Parameters'!B59</f>
        <v>Freq Desynchronization factor (Hz)</v>
      </c>
      <c r="C205" s="35">
        <f>'General System Parameters'!C59</f>
        <v>17.5</v>
      </c>
    </row>
    <row r="206" spans="2:19" x14ac:dyDescent="0.2">
      <c r="B206" s="34" t="str">
        <f>'General System Parameters'!B60</f>
        <v>Freq Desynchronization factor (m/s)</v>
      </c>
      <c r="C206" s="35">
        <f>'General System Parameters'!C60</f>
        <v>0.74948114500000007</v>
      </c>
    </row>
    <row r="207" spans="2:19" x14ac:dyDescent="0.2">
      <c r="B207" s="30" t="str">
        <f>'General System Parameters'!B61</f>
        <v>Time Desynchronization factor (ppm)</v>
      </c>
      <c r="C207" s="31">
        <f>'General System Parameters'!C61</f>
        <v>0.2</v>
      </c>
    </row>
    <row r="208" spans="2:19" x14ac:dyDescent="0.2">
      <c r="B208" s="30" t="str">
        <f>'General System Parameters'!B62</f>
        <v>Synchronization window per seq (μs)</v>
      </c>
      <c r="C208" s="31">
        <f>'General System Parameters'!C62</f>
        <v>0.1</v>
      </c>
    </row>
    <row r="209" spans="2:3" x14ac:dyDescent="0.2">
      <c r="B209" s="117" t="str">
        <f>'General System Parameters'!B63</f>
        <v>#RG in Optimized Mode (one side)</v>
      </c>
      <c r="C209" s="118">
        <f>'General System Parameters'!C63</f>
        <v>7</v>
      </c>
    </row>
    <row r="210" spans="2:3" x14ac:dyDescent="0.2">
      <c r="B210" s="30" t="str">
        <f>'General System Parameters'!B64</f>
        <v>Total #RG in Optimized Mode</v>
      </c>
      <c r="C210" s="31">
        <f>'General System Parameters'!C64</f>
        <v>15</v>
      </c>
    </row>
  </sheetData>
  <mergeCells count="4">
    <mergeCell ref="B150:D150"/>
    <mergeCell ref="C1:D1"/>
    <mergeCell ref="E1:T1"/>
    <mergeCell ref="B145:D145"/>
  </mergeCells>
  <conditionalFormatting sqref="C61:D61">
    <cfRule type="cellIs" dxfId="42" priority="3" operator="greaterThan">
      <formula>3</formula>
    </cfRule>
  </conditionalFormatting>
  <conditionalFormatting sqref="C49">
    <cfRule type="cellIs" dxfId="41" priority="2" operator="greaterThan">
      <formula>"2&amp;&amp;$C$57&gt;$C$58"</formula>
    </cfRule>
  </conditionalFormatting>
  <conditionalFormatting sqref="C59">
    <cfRule type="expression" dxfId="40" priority="1">
      <formula>AND($C$61 &gt; $C$52, $C$51&gt;1)</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Z210"/>
  <sheetViews>
    <sheetView topLeftCell="A34" workbookViewId="0">
      <selection activeCell="C59" sqref="C59:D59"/>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20" t="str">
        <f>'Parameters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'Parameters List'!B4</f>
        <v>Antenna Number (1 or 2)</v>
      </c>
      <c r="C4" s="49"/>
      <c r="D4" s="49"/>
      <c r="E4" s="50">
        <v>1</v>
      </c>
      <c r="F4" s="50">
        <v>1</v>
      </c>
      <c r="G4" s="50">
        <v>1</v>
      </c>
      <c r="H4" s="50">
        <v>1</v>
      </c>
      <c r="I4" s="50">
        <v>1</v>
      </c>
      <c r="J4" s="50">
        <v>1</v>
      </c>
      <c r="K4" s="50">
        <v>1</v>
      </c>
      <c r="L4" s="50">
        <v>1</v>
      </c>
      <c r="M4" s="50">
        <v>1</v>
      </c>
      <c r="N4" s="50">
        <v>1</v>
      </c>
      <c r="O4" s="50">
        <v>1</v>
      </c>
      <c r="P4" s="50">
        <v>1</v>
      </c>
      <c r="Q4" s="50">
        <v>1</v>
      </c>
      <c r="R4" s="50">
        <v>1</v>
      </c>
      <c r="S4" s="50">
        <v>1</v>
      </c>
      <c r="T4" s="50">
        <v>1</v>
      </c>
      <c r="U4" s="50">
        <v>1</v>
      </c>
      <c r="V4" s="50">
        <v>1</v>
      </c>
      <c r="W4" s="50">
        <v>1</v>
      </c>
      <c r="X4" s="50">
        <v>1</v>
      </c>
      <c r="Y4" s="50">
        <v>1</v>
      </c>
      <c r="Z4" s="50">
        <v>1</v>
      </c>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'Parameters List'!B5</f>
        <v>Steer Az (clockwise - positive)</v>
      </c>
      <c r="C5" s="49"/>
      <c r="D5" s="49"/>
      <c r="E5" s="50">
        <v>-37.5</v>
      </c>
      <c r="F5" s="50">
        <v>-29.5</v>
      </c>
      <c r="G5" s="50">
        <v>-21.5</v>
      </c>
      <c r="H5" s="50">
        <v>-13.5</v>
      </c>
      <c r="I5" s="50">
        <v>-5.5</v>
      </c>
      <c r="J5" s="50">
        <v>2.5</v>
      </c>
      <c r="K5" s="50">
        <v>10.5</v>
      </c>
      <c r="L5" s="50">
        <v>18.5</v>
      </c>
      <c r="M5" s="50">
        <v>26.5</v>
      </c>
      <c r="N5" s="50">
        <v>34.5</v>
      </c>
      <c r="O5" s="50">
        <v>42.5</v>
      </c>
      <c r="P5" s="50">
        <v>-42.5</v>
      </c>
      <c r="Q5" s="50">
        <v>-34.5</v>
      </c>
      <c r="R5" s="50">
        <v>-26.5</v>
      </c>
      <c r="S5" s="50">
        <v>-18.5</v>
      </c>
      <c r="T5" s="50">
        <v>-10.5</v>
      </c>
      <c r="U5" s="50">
        <v>-2.5</v>
      </c>
      <c r="V5" s="50">
        <v>5.5</v>
      </c>
      <c r="W5" s="50">
        <v>13.5</v>
      </c>
      <c r="X5" s="50">
        <v>21.5</v>
      </c>
      <c r="Y5" s="50">
        <v>29.5</v>
      </c>
      <c r="Z5" s="50">
        <v>37.5</v>
      </c>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'Parameters List'!B6</f>
        <v>Steer El (up - positive)</v>
      </c>
      <c r="C6" s="49"/>
      <c r="D6" s="49"/>
      <c r="E6" s="50">
        <v>5</v>
      </c>
      <c r="F6" s="50">
        <v>5</v>
      </c>
      <c r="G6" s="50">
        <v>5</v>
      </c>
      <c r="H6" s="50">
        <v>5</v>
      </c>
      <c r="I6" s="50">
        <v>5</v>
      </c>
      <c r="J6" s="50">
        <v>5</v>
      </c>
      <c r="K6" s="50">
        <v>5</v>
      </c>
      <c r="L6" s="50">
        <v>5</v>
      </c>
      <c r="M6" s="50">
        <v>5</v>
      </c>
      <c r="N6" s="50">
        <v>5</v>
      </c>
      <c r="O6" s="50">
        <v>5</v>
      </c>
      <c r="P6" s="50">
        <v>13</v>
      </c>
      <c r="Q6" s="50">
        <v>13</v>
      </c>
      <c r="R6" s="50">
        <v>13</v>
      </c>
      <c r="S6" s="50">
        <v>13</v>
      </c>
      <c r="T6" s="50">
        <v>13</v>
      </c>
      <c r="U6" s="50">
        <v>13</v>
      </c>
      <c r="V6" s="50">
        <v>13</v>
      </c>
      <c r="W6" s="50">
        <v>13</v>
      </c>
      <c r="X6" s="50">
        <v>13</v>
      </c>
      <c r="Y6" s="50">
        <v>13</v>
      </c>
      <c r="Z6" s="50">
        <v>13</v>
      </c>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'Parameters List'!B9</f>
        <v>Antenna Number (1 or 2)</v>
      </c>
      <c r="C9" s="49"/>
      <c r="D9" s="49"/>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'Parameters List'!B10</f>
        <v>Steer Az (clockwise - positive)</v>
      </c>
      <c r="C10" s="49"/>
      <c r="D10" s="49"/>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'Parameters List'!B11</f>
        <v>Steer El (up - positive)</v>
      </c>
      <c r="C11" s="49"/>
      <c r="D11" s="49"/>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'Parameters List'!B13</f>
        <v>Processing Channel Number (1 or 2)</v>
      </c>
      <c r="C13" s="49"/>
      <c r="D13" s="49"/>
      <c r="E13" s="33">
        <v>1</v>
      </c>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'Parameters List'!B14</f>
        <v>Beam type (relative to processing channel)</v>
      </c>
      <c r="C14" s="49"/>
      <c r="D14" s="49"/>
      <c r="E14" s="33">
        <v>1</v>
      </c>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'Parameters List'!B15</f>
        <v>Stagger number (1 or 2)</v>
      </c>
      <c r="C15" s="58"/>
      <c r="D15" s="58"/>
      <c r="E15" s="33">
        <v>1</v>
      </c>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'Parameters List'!B16</f>
        <v>Receiving Patch Group (1 or 2)</v>
      </c>
      <c r="C16" s="58"/>
      <c r="D16" s="58"/>
      <c r="E16" s="33">
        <v>1</v>
      </c>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'Parameters List'!B17</f>
        <v>Tracking (0 or 1)</v>
      </c>
      <c r="C17" s="58"/>
      <c r="D17" s="58"/>
      <c r="E17" s="33">
        <v>0</v>
      </c>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'Parameters List'!B18</f>
        <v>Stagger PRI Sequence (Chip Units)</v>
      </c>
      <c r="C18" s="58"/>
      <c r="D18" s="58"/>
      <c r="E18" s="123">
        <f t="shared" ref="E18:AJ18" si="0">IF(E$13=1, (E$14-1)*$C$31,IF(E$13=2,((E$14-1)*$D$31),""))</f>
        <v>0</v>
      </c>
      <c r="F18" s="123" t="str">
        <f t="shared" si="0"/>
        <v/>
      </c>
      <c r="G18" s="123" t="str">
        <f t="shared" si="0"/>
        <v/>
      </c>
      <c r="H18" s="123" t="str">
        <f t="shared" si="0"/>
        <v/>
      </c>
      <c r="I18" s="123" t="str">
        <f t="shared" si="0"/>
        <v/>
      </c>
      <c r="J18" s="123" t="str">
        <f t="shared" si="0"/>
        <v/>
      </c>
      <c r="K18" s="123" t="str">
        <f t="shared" si="0"/>
        <v/>
      </c>
      <c r="L18" s="123" t="str">
        <f t="shared" si="0"/>
        <v/>
      </c>
      <c r="M18" s="123" t="str">
        <f t="shared" si="0"/>
        <v/>
      </c>
      <c r="N18" s="123" t="str">
        <f t="shared" si="0"/>
        <v/>
      </c>
      <c r="O18" s="123" t="str">
        <f t="shared" si="0"/>
        <v/>
      </c>
      <c r="P18" s="123" t="str">
        <f t="shared" si="0"/>
        <v/>
      </c>
      <c r="Q18" s="123" t="str">
        <f t="shared" si="0"/>
        <v/>
      </c>
      <c r="R18" s="123" t="str">
        <f t="shared" si="0"/>
        <v/>
      </c>
      <c r="S18" s="123" t="str">
        <f t="shared" si="0"/>
        <v/>
      </c>
      <c r="T18" s="123" t="str">
        <f t="shared" si="0"/>
        <v/>
      </c>
      <c r="U18" s="123" t="str">
        <f t="shared" si="0"/>
        <v/>
      </c>
      <c r="V18" s="123" t="str">
        <f t="shared" si="0"/>
        <v/>
      </c>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CONCATENATE('XML File Parameters'!D2," XMLver",'XML File Parameters'!D3,".",'XML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'Parameters List'!B21</f>
        <v>Apply RG Optimization</v>
      </c>
      <c r="C21" s="64">
        <v>0</v>
      </c>
      <c r="D21" s="64">
        <v>0</v>
      </c>
      <c r="F21" s="43"/>
      <c r="G21" s="43"/>
      <c r="H21" s="43"/>
      <c r="I21" s="43"/>
      <c r="J21" s="43"/>
      <c r="K21" s="43"/>
      <c r="L21" s="43"/>
      <c r="M21" s="43"/>
      <c r="N21" s="43"/>
      <c r="O21" s="43"/>
      <c r="P21" s="43"/>
      <c r="Q21" s="43"/>
      <c r="R21" s="43"/>
      <c r="S21" s="43"/>
    </row>
    <row r="22" spans="1:78" x14ac:dyDescent="0.2">
      <c r="A22" s="91" t="s">
        <v>78</v>
      </c>
      <c r="B22" s="104" t="str">
        <f>'Parameters List'!B22</f>
        <v>Sequential Repetition</v>
      </c>
      <c r="C22" s="64">
        <v>22</v>
      </c>
      <c r="D22" s="64">
        <v>2</v>
      </c>
      <c r="F22" s="43"/>
      <c r="G22" s="43"/>
      <c r="H22" s="43"/>
      <c r="I22" s="43"/>
      <c r="J22" s="43"/>
      <c r="K22" s="43"/>
      <c r="L22" s="43"/>
      <c r="M22" s="43"/>
      <c r="N22" s="43"/>
      <c r="O22" s="43"/>
      <c r="P22" s="43"/>
      <c r="Q22" s="43"/>
      <c r="R22" s="43"/>
      <c r="S22" s="43"/>
    </row>
    <row r="23" spans="1:78" x14ac:dyDescent="0.2">
      <c r="A23" s="91" t="s">
        <v>78</v>
      </c>
      <c r="B23" s="104" t="str">
        <f>'Parameters List'!B23</f>
        <v>Max Dets to process</v>
      </c>
      <c r="C23" s="64">
        <v>64</v>
      </c>
      <c r="D23" s="64">
        <v>40</v>
      </c>
      <c r="E23" s="65"/>
      <c r="F23" s="43"/>
      <c r="G23" s="43"/>
      <c r="H23" s="43"/>
      <c r="I23" s="43"/>
      <c r="J23" s="43"/>
      <c r="K23" s="43"/>
      <c r="L23" s="43"/>
      <c r="M23" s="43"/>
      <c r="N23" s="43"/>
      <c r="O23" s="43"/>
      <c r="P23" s="43"/>
      <c r="Q23" s="43"/>
      <c r="R23" s="43"/>
      <c r="S23" s="43"/>
    </row>
    <row r="24" spans="1:78" x14ac:dyDescent="0.2">
      <c r="A24" s="91"/>
      <c r="B24" s="95" t="str">
        <f>'Parameters List'!B24</f>
        <v>Number of Steers</v>
      </c>
      <c r="C24" s="33">
        <f>COUNTIF(E$4:BP$4,"&gt;0")</f>
        <v>22</v>
      </c>
      <c r="D24" s="33">
        <f>COUNTIF(E$9:BP$9,"&gt;0")</f>
        <v>0</v>
      </c>
      <c r="E24" s="65"/>
      <c r="F24" s="43"/>
      <c r="G24" s="43"/>
      <c r="H24" s="43"/>
      <c r="I24" s="43"/>
      <c r="J24" s="43"/>
      <c r="K24" s="43"/>
      <c r="L24" s="43"/>
      <c r="M24" s="43"/>
      <c r="N24" s="43"/>
      <c r="O24" s="43"/>
      <c r="P24" s="43"/>
      <c r="Q24" s="43"/>
      <c r="R24" s="43"/>
      <c r="S24" s="43"/>
    </row>
    <row r="25" spans="1:78" x14ac:dyDescent="0.2">
      <c r="A25" s="91"/>
      <c r="B25" s="95" t="str">
        <f>'Parameters List'!B25</f>
        <v>Number of Beam Types</v>
      </c>
      <c r="C25" s="33">
        <f>COUNTIFS($E$13:$AJ$13,"=1",$E$15:$AJ$15,"=1")</f>
        <v>1</v>
      </c>
      <c r="D25" s="33">
        <f>COUNTIFS($E$13:$AJ$13,"=2",$E$15:$AJ$15,"=1")</f>
        <v>0</v>
      </c>
      <c r="E25" s="65"/>
      <c r="F25" s="43"/>
      <c r="G25" s="43"/>
      <c r="H25" s="43"/>
      <c r="I25" s="43"/>
      <c r="J25" s="43"/>
      <c r="K25" s="43"/>
      <c r="L25" s="43"/>
      <c r="M25" s="43"/>
      <c r="N25" s="43"/>
      <c r="O25" s="43"/>
      <c r="P25" s="43"/>
      <c r="Q25" s="43"/>
      <c r="R25" s="43"/>
      <c r="S25" s="43"/>
    </row>
    <row r="26" spans="1:78" x14ac:dyDescent="0.2">
      <c r="A26" s="91"/>
      <c r="B26" s="95" t="str">
        <f>'Parameters List'!B26</f>
        <v>Number of Beams</v>
      </c>
      <c r="C26" s="33">
        <f>COUNTIF($E$13:$AJ$13,"=1")</f>
        <v>1</v>
      </c>
      <c r="D26" s="33">
        <f>COUNTIF($E$13:$AJ$13,"=2")</f>
        <v>0</v>
      </c>
      <c r="E26" s="65"/>
      <c r="F26" s="43"/>
      <c r="G26" s="43"/>
      <c r="H26" s="43"/>
      <c r="I26" s="43"/>
      <c r="J26" s="43"/>
      <c r="K26" s="43"/>
      <c r="L26" s="43"/>
      <c r="M26" s="43"/>
      <c r="N26" s="43"/>
      <c r="O26" s="43"/>
      <c r="P26" s="43"/>
      <c r="Q26" s="43"/>
      <c r="R26" s="43"/>
      <c r="S26" s="43"/>
    </row>
    <row r="27" spans="1:78" x14ac:dyDescent="0.2">
      <c r="A27" s="91"/>
      <c r="B27" s="95" t="str">
        <f>'Parameters List'!B27</f>
        <v>Number of Beams at Antenna1</v>
      </c>
      <c r="C27" s="33">
        <f>IF(COUNTIF($E$4:$BP$4,"=1")&gt;=C$25,C$26,COUNTIF($E$4:$BP$4,"=1")*C$26/C$25)</f>
        <v>1</v>
      </c>
      <c r="D27" s="33">
        <f>IF(COUNTIF($E$9:$BP$9,"=1")&gt;=D$25,D$26,COUNTIF($E$9:$BP$9,"=1")*D$26/D$25)</f>
        <v>0</v>
      </c>
      <c r="E27" s="65"/>
      <c r="F27" s="43"/>
      <c r="G27" s="43"/>
      <c r="H27" s="43"/>
      <c r="I27" s="43"/>
      <c r="J27" s="43"/>
      <c r="K27" s="43"/>
      <c r="L27" s="43"/>
      <c r="M27" s="43"/>
      <c r="N27" s="43"/>
      <c r="O27" s="43"/>
      <c r="P27" s="43"/>
      <c r="Q27" s="43"/>
      <c r="R27" s="43"/>
      <c r="S27" s="43"/>
    </row>
    <row r="28" spans="1:78" x14ac:dyDescent="0.2">
      <c r="A28" s="91"/>
      <c r="B28" s="95" t="str">
        <f>'Parameters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'Parameters List'!B29</f>
        <v>Desired CPI (ms)</v>
      </c>
      <c r="C29" s="64">
        <v>50</v>
      </c>
      <c r="D29" s="64">
        <v>5</v>
      </c>
      <c r="G29" s="43"/>
      <c r="H29" s="43"/>
      <c r="I29" s="43"/>
      <c r="J29" s="43"/>
      <c r="K29" s="43"/>
      <c r="L29" s="43"/>
      <c r="M29" s="43"/>
      <c r="N29" s="43"/>
      <c r="O29" s="43"/>
      <c r="P29" s="43"/>
      <c r="Q29" s="43"/>
      <c r="R29" s="43"/>
      <c r="S29" s="43"/>
    </row>
    <row r="30" spans="1:78" x14ac:dyDescent="0.2">
      <c r="A30" s="91" t="s">
        <v>78</v>
      </c>
      <c r="B30" s="95" t="str">
        <f>'Parameters List'!B30</f>
        <v>Actual CPI (ms)</v>
      </c>
      <c r="C30" s="33">
        <f>(C$49*$C$104*C$51)/1000</f>
        <v>49.254400000000004</v>
      </c>
      <c r="D30" s="33">
        <f>(D$49*$C$104*D$51)/1000</f>
        <v>4.6176000000000004</v>
      </c>
      <c r="F30" s="43"/>
      <c r="G30" s="43"/>
      <c r="H30" s="43"/>
      <c r="I30" s="43"/>
      <c r="J30" s="43"/>
      <c r="K30" s="43"/>
      <c r="L30" s="43"/>
      <c r="M30" s="43"/>
      <c r="N30" s="43"/>
      <c r="O30" s="43"/>
      <c r="P30" s="43"/>
      <c r="Q30" s="43"/>
      <c r="R30" s="43"/>
      <c r="S30" s="43"/>
    </row>
    <row r="31" spans="1:78" x14ac:dyDescent="0.2">
      <c r="A31" s="91" t="s">
        <v>78</v>
      </c>
      <c r="B31" s="94" t="str">
        <f>'Parameters List'!B31</f>
        <v>Multi Stagger - PRI Ext (in Chip Units)</v>
      </c>
      <c r="C31" s="64">
        <v>0</v>
      </c>
      <c r="D31" s="64">
        <v>0</v>
      </c>
      <c r="E31" s="65"/>
      <c r="F31" s="119"/>
      <c r="G31" s="43"/>
      <c r="H31" s="43"/>
      <c r="I31" s="43"/>
      <c r="J31" s="43"/>
      <c r="K31" s="43"/>
      <c r="L31" s="43"/>
      <c r="M31" s="43"/>
      <c r="N31" s="43"/>
      <c r="O31" s="43"/>
      <c r="P31" s="43"/>
      <c r="Q31" s="43"/>
      <c r="R31" s="43"/>
      <c r="S31" s="43"/>
    </row>
    <row r="32" spans="1:78" x14ac:dyDescent="0.2">
      <c r="A32" s="91" t="s">
        <v>78</v>
      </c>
      <c r="B32" s="94" t="str">
        <f>'Parameters List'!B32</f>
        <v>Stagger1 PRI (µs)</v>
      </c>
      <c r="C32" s="64">
        <v>48</v>
      </c>
      <c r="D32" s="64">
        <v>14</v>
      </c>
      <c r="F32" s="43"/>
      <c r="G32" s="43"/>
      <c r="H32" s="43"/>
      <c r="I32" s="43"/>
      <c r="J32" s="43"/>
      <c r="K32" s="43"/>
      <c r="L32" s="43"/>
      <c r="M32" s="43"/>
      <c r="N32" s="43"/>
      <c r="O32" s="43"/>
      <c r="P32" s="43"/>
      <c r="Q32" s="43"/>
      <c r="R32" s="43"/>
      <c r="S32" s="43"/>
    </row>
    <row r="33" spans="1:19" x14ac:dyDescent="0.2">
      <c r="A33" s="91" t="s">
        <v>78</v>
      </c>
      <c r="B33" s="94" t="str">
        <f>'Parameters List'!B33</f>
        <v>Stagger2 PRI (µs)</v>
      </c>
      <c r="C33" s="64">
        <v>48</v>
      </c>
      <c r="D33" s="64">
        <v>0</v>
      </c>
      <c r="F33" s="43"/>
      <c r="G33" s="43"/>
      <c r="H33" s="43"/>
      <c r="I33" s="43"/>
      <c r="J33" s="43"/>
      <c r="K33" s="43"/>
      <c r="L33" s="43"/>
      <c r="M33" s="43"/>
      <c r="N33" s="43"/>
      <c r="O33" s="43"/>
      <c r="P33" s="43"/>
      <c r="Q33" s="43"/>
      <c r="R33" s="43"/>
      <c r="S33" s="43"/>
    </row>
    <row r="34" spans="1:19" x14ac:dyDescent="0.2">
      <c r="A34" s="91" t="s">
        <v>81</v>
      </c>
      <c r="B34" s="95" t="str">
        <f>'Parameters List'!B34</f>
        <v>Number of Staggers (1 or 2)</v>
      </c>
      <c r="C34" s="67">
        <f>1*(C$32&lt;&gt;0)+1*(C$33&lt;&gt;0)</f>
        <v>2</v>
      </c>
      <c r="D34" s="67">
        <f>1*(D$32&lt;&gt;0)+1*(D$33&lt;&gt;0)</f>
        <v>1</v>
      </c>
      <c r="F34" s="43"/>
      <c r="G34" s="43"/>
      <c r="H34" s="43"/>
      <c r="I34" s="43"/>
      <c r="J34" s="43"/>
      <c r="K34" s="43"/>
      <c r="L34" s="43"/>
      <c r="M34" s="43"/>
      <c r="N34" s="43"/>
      <c r="O34" s="43"/>
      <c r="P34" s="43"/>
      <c r="Q34" s="43"/>
      <c r="R34" s="43"/>
      <c r="S34" s="43"/>
    </row>
    <row r="35" spans="1:19" x14ac:dyDescent="0.2">
      <c r="A35" s="91"/>
      <c r="B35" s="94" t="str">
        <f>'Parameters List'!B35</f>
        <v>Stagger Loss (dB)</v>
      </c>
      <c r="C35" s="64">
        <v>0</v>
      </c>
      <c r="D35" s="64">
        <v>3.01</v>
      </c>
      <c r="F35" s="43"/>
      <c r="G35" s="43"/>
      <c r="H35" s="43"/>
      <c r="I35" s="43"/>
      <c r="J35" s="43"/>
      <c r="K35" s="43"/>
      <c r="L35" s="43"/>
      <c r="M35" s="43"/>
      <c r="N35" s="43"/>
      <c r="O35" s="43"/>
      <c r="P35" s="43"/>
      <c r="Q35" s="43"/>
      <c r="R35" s="43"/>
      <c r="S35" s="43"/>
    </row>
    <row r="36" spans="1:19" x14ac:dyDescent="0.2">
      <c r="A36" s="91" t="s">
        <v>78</v>
      </c>
      <c r="B36" s="95" t="str">
        <f>'Parameters List'!B36</f>
        <v>PW (µs)</v>
      </c>
      <c r="C36" s="33">
        <f>C$46*C$48*$C$174</f>
        <v>13</v>
      </c>
      <c r="D36" s="33">
        <f>D$46*D$48*$C$174</f>
        <v>3.9000000000000004</v>
      </c>
      <c r="F36" s="43"/>
      <c r="G36" s="43"/>
      <c r="H36" s="43"/>
      <c r="I36" s="43"/>
      <c r="J36" s="43"/>
      <c r="K36" s="43"/>
      <c r="L36" s="43"/>
      <c r="M36" s="43"/>
      <c r="N36" s="43"/>
      <c r="O36" s="43"/>
      <c r="P36" s="43"/>
      <c r="Q36" s="43"/>
      <c r="R36" s="43"/>
      <c r="S36" s="43"/>
    </row>
    <row r="37" spans="1:19" x14ac:dyDescent="0.2">
      <c r="A37" s="91" t="s">
        <v>78</v>
      </c>
      <c r="B37" s="95" t="str">
        <f>'Parameters List'!B37</f>
        <v>Actual Bandwidth (MHz)</v>
      </c>
      <c r="C37" s="33">
        <f>2*C$48/(C$36*(2*(C$48=2)+1*(C$48&lt;&gt;2)))</f>
        <v>2</v>
      </c>
      <c r="D37" s="33">
        <f>2*D$48/(D$36*(2*(D$48=2)+1*(D$48&lt;&gt;2)))</f>
        <v>6.6666666666666661</v>
      </c>
      <c r="F37" s="43"/>
      <c r="G37" s="43"/>
      <c r="H37" s="43"/>
      <c r="I37" s="43"/>
      <c r="J37" s="43"/>
      <c r="K37" s="43"/>
      <c r="L37" s="43"/>
      <c r="M37" s="43"/>
      <c r="N37" s="43"/>
      <c r="O37" s="43"/>
      <c r="P37" s="43"/>
      <c r="Q37" s="43"/>
      <c r="R37" s="43"/>
      <c r="S37" s="43"/>
    </row>
    <row r="38" spans="1:19" x14ac:dyDescent="0.2">
      <c r="A38" s="91" t="s">
        <v>81</v>
      </c>
      <c r="B38" s="95" t="str">
        <f>'Parameters List'!B38</f>
        <v>Range Resolution (m)</v>
      </c>
      <c r="C38" s="67">
        <f>$C$163*C$36 /C$48*(2*(C$48=2)+1*(C$48&lt;&gt;2))</f>
        <v>149.89622900000001</v>
      </c>
      <c r="D38" s="67">
        <f>$C$163*D$36 /D$48*(2*(D$48=2)+1*(D$48&lt;&gt;2))</f>
        <v>44.968868700000002</v>
      </c>
      <c r="F38" s="43"/>
      <c r="G38" s="43"/>
      <c r="H38" s="43"/>
      <c r="I38" s="43"/>
      <c r="J38" s="43"/>
      <c r="K38" s="43"/>
      <c r="L38" s="43"/>
      <c r="M38" s="43"/>
      <c r="N38" s="43"/>
      <c r="O38" s="43"/>
      <c r="P38" s="43"/>
      <c r="Q38" s="43"/>
      <c r="R38" s="43"/>
      <c r="S38" s="43"/>
    </row>
    <row r="39" spans="1:19" x14ac:dyDescent="0.2">
      <c r="A39" s="91" t="s">
        <v>81</v>
      </c>
      <c r="B39" s="95" t="str">
        <f>'Parameters List'!B39</f>
        <v>Range Gate Width (m)</v>
      </c>
      <c r="C39" s="67">
        <f>C$38*(1*(C$47=0)+0.5*(C$47&lt;&gt;0))</f>
        <v>74.948114500000003</v>
      </c>
      <c r="D39" s="67">
        <f>D$38*(1*(D$47=0)+0.5*(D$47&lt;&gt;0))</f>
        <v>22.484434350000001</v>
      </c>
      <c r="F39" s="43"/>
      <c r="G39" s="43"/>
      <c r="H39" s="43"/>
      <c r="I39" s="43"/>
      <c r="J39" s="43"/>
      <c r="K39" s="43"/>
      <c r="L39" s="43"/>
      <c r="M39" s="43"/>
      <c r="N39" s="43"/>
      <c r="O39" s="43"/>
      <c r="P39" s="43"/>
      <c r="Q39" s="43"/>
      <c r="R39" s="43"/>
      <c r="S39" s="43"/>
    </row>
    <row r="40" spans="1:19" x14ac:dyDescent="0.2">
      <c r="A40" s="91" t="s">
        <v>78</v>
      </c>
      <c r="B40" s="94" t="str">
        <f>'Parameters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'Parameters List'!B41</f>
        <v>Min Range Offset (m)</v>
      </c>
      <c r="C41" s="64">
        <v>0</v>
      </c>
      <c r="D41" s="64">
        <v>0</v>
      </c>
      <c r="F41" s="43"/>
      <c r="G41" s="43"/>
      <c r="H41" s="43"/>
      <c r="I41" s="43"/>
      <c r="J41" s="43"/>
      <c r="K41" s="43"/>
      <c r="L41" s="43"/>
      <c r="M41" s="43"/>
      <c r="N41" s="43"/>
      <c r="O41" s="43"/>
      <c r="P41" s="43"/>
      <c r="Q41" s="43"/>
      <c r="R41" s="43"/>
      <c r="S41" s="43"/>
    </row>
    <row r="42" spans="1:19" x14ac:dyDescent="0.2">
      <c r="A42" s="91" t="s">
        <v>78</v>
      </c>
      <c r="B42" s="94" t="str">
        <f>'Parameters List'!B42</f>
        <v>Max Range Offset (m)</v>
      </c>
      <c r="C42" s="64">
        <v>0</v>
      </c>
      <c r="D42" s="64">
        <v>0</v>
      </c>
      <c r="F42" s="43"/>
      <c r="G42" s="43"/>
      <c r="H42" s="43"/>
      <c r="I42" s="43"/>
      <c r="J42" s="43"/>
      <c r="K42" s="43"/>
      <c r="L42" s="43"/>
      <c r="M42" s="43"/>
      <c r="N42" s="43"/>
      <c r="O42" s="43"/>
      <c r="P42" s="43"/>
      <c r="Q42" s="43"/>
      <c r="R42" s="43"/>
      <c r="S42" s="43"/>
    </row>
    <row r="43" spans="1:19" x14ac:dyDescent="0.2">
      <c r="A43" s="91" t="s">
        <v>78</v>
      </c>
      <c r="B43" s="95" t="str">
        <f>'Parameters List'!B43</f>
        <v>Min Range (m)</v>
      </c>
      <c r="C43" s="67">
        <f>$C$163*C$36 + C$41</f>
        <v>1948.650977</v>
      </c>
      <c r="D43" s="67">
        <f>$C$163*D$36 + D$41</f>
        <v>584.59529310000005</v>
      </c>
      <c r="F43" s="43"/>
      <c r="G43" s="43"/>
      <c r="H43" s="43"/>
      <c r="I43" s="43"/>
      <c r="J43" s="43"/>
      <c r="K43" s="43"/>
      <c r="L43" s="43"/>
      <c r="M43" s="43"/>
      <c r="N43" s="43"/>
      <c r="O43" s="43"/>
      <c r="P43" s="43"/>
      <c r="Q43" s="43"/>
      <c r="R43" s="43"/>
      <c r="S43" s="43"/>
    </row>
    <row r="44" spans="1:19" x14ac:dyDescent="0.2">
      <c r="A44" s="91" t="s">
        <v>78</v>
      </c>
      <c r="B44" s="95" t="str">
        <f>'Parameters List'!B44</f>
        <v>Max Range (m)</v>
      </c>
      <c r="C44" s="67">
        <f>$C$163*((C$45-1)*C$46*$C$174/IF(C$48=2,IF(C$47=1,1,0.5),IF(C$47=1,2,1)))+C$43</f>
        <v>5171.4199005</v>
      </c>
      <c r="D44" s="67">
        <f>$C$163*((D$45-1)*D$46*$C$174/IF(D$48=2,IF(D$47=1,1,0.5),IF(D$47=1,2,1)))+D$43</f>
        <v>1483.9726671000001</v>
      </c>
      <c r="F44" s="43"/>
      <c r="G44" s="43"/>
      <c r="H44" s="43"/>
      <c r="I44" s="43"/>
      <c r="J44" s="43"/>
      <c r="K44" s="43"/>
      <c r="L44" s="43"/>
      <c r="M44" s="43"/>
      <c r="N44" s="43"/>
      <c r="O44" s="43"/>
      <c r="P44" s="43"/>
      <c r="Q44" s="43"/>
      <c r="R44" s="43"/>
      <c r="S44" s="43"/>
    </row>
    <row r="45" spans="1:19" x14ac:dyDescent="0.2">
      <c r="A45" s="91" t="s">
        <v>78</v>
      </c>
      <c r="B45" s="95" t="str">
        <f>'Parameters List'!B45</f>
        <v>NRG</v>
      </c>
      <c r="C45" s="33">
        <f>FLOOR((C$32-$C$161-2*C$36-(C$41+C$42)/$C$163)/(IF(C$48=2,IF(C$47=0,C$46*$C$174*2,C$46*$C$174),IF(C$47=0,C$46*$C$174,C$46*$C$174/2))),1)+1</f>
        <v>44</v>
      </c>
      <c r="D45" s="33">
        <f>FLOOR((D$32-$C$161-2*D$36-(D$41+D$42)/$C$163)/(IF(D$48=2,IF(D$47=0,D$46*$C$174*2,D$46*$C$174),IF(D$47=0,D$46*$C$174,D$46*$C$174/2))),1)+1</f>
        <v>41</v>
      </c>
      <c r="F45" s="43"/>
      <c r="G45" s="43"/>
      <c r="H45" s="43"/>
      <c r="I45" s="43"/>
      <c r="J45" s="43"/>
      <c r="K45" s="43"/>
      <c r="L45" s="43"/>
      <c r="M45" s="43"/>
      <c r="N45" s="43"/>
      <c r="O45" s="43"/>
      <c r="P45" s="43"/>
      <c r="Q45" s="43"/>
      <c r="R45" s="43"/>
      <c r="S45" s="43"/>
    </row>
    <row r="46" spans="1:19" x14ac:dyDescent="0.2">
      <c r="A46" s="91" t="s">
        <v>78</v>
      </c>
      <c r="B46" s="94" t="str">
        <f>'Parameters List'!B46</f>
        <v>TCHIP (even number)</v>
      </c>
      <c r="C46" s="64">
        <v>80</v>
      </c>
      <c r="D46" s="64">
        <v>24</v>
      </c>
      <c r="F46" s="43"/>
      <c r="G46" s="43"/>
      <c r="H46" s="43"/>
      <c r="I46" s="43"/>
      <c r="J46" s="43"/>
      <c r="K46" s="43"/>
      <c r="L46" s="43"/>
      <c r="M46" s="43"/>
      <c r="N46" s="43"/>
      <c r="O46" s="43"/>
      <c r="P46" s="43"/>
      <c r="Q46" s="43"/>
      <c r="R46" s="43"/>
      <c r="S46" s="43"/>
    </row>
    <row r="47" spans="1:19" x14ac:dyDescent="0.2">
      <c r="A47" s="91" t="s">
        <v>78</v>
      </c>
      <c r="B47" s="94" t="str">
        <f>'Parameters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'Parameters List'!B48</f>
        <v>NSERIES</v>
      </c>
      <c r="C48" s="64">
        <v>13</v>
      </c>
      <c r="D48" s="64">
        <v>13</v>
      </c>
      <c r="F48" s="43"/>
      <c r="G48" s="43"/>
      <c r="H48" s="43"/>
      <c r="I48" s="43"/>
      <c r="J48" s="43"/>
      <c r="K48" s="43"/>
      <c r="L48" s="43"/>
      <c r="M48" s="43"/>
      <c r="N48" s="43"/>
      <c r="O48" s="43"/>
      <c r="P48" s="43"/>
      <c r="Q48" s="43"/>
      <c r="R48" s="43"/>
      <c r="S48" s="43"/>
    </row>
    <row r="49" spans="1:19" x14ac:dyDescent="0.2">
      <c r="A49" s="91" t="s">
        <v>78</v>
      </c>
      <c r="B49" s="94" t="str">
        <f>'Parameters List'!B49</f>
        <v>POSTDEC</v>
      </c>
      <c r="C49" s="64">
        <v>1</v>
      </c>
      <c r="D49" s="64">
        <v>1</v>
      </c>
      <c r="F49" s="43"/>
      <c r="G49" s="43"/>
      <c r="H49" s="43"/>
      <c r="I49" s="43"/>
      <c r="J49" s="43"/>
      <c r="K49" s="43"/>
      <c r="L49" s="43"/>
      <c r="M49" s="43"/>
      <c r="N49" s="43"/>
      <c r="O49" s="43"/>
      <c r="P49" s="43"/>
      <c r="Q49" s="43"/>
      <c r="R49" s="43"/>
      <c r="S49" s="43"/>
    </row>
    <row r="50" spans="1:19" x14ac:dyDescent="0.2">
      <c r="A50" s="91"/>
      <c r="B50" s="80" t="str">
        <f>'Parameters List'!B50</f>
        <v>Max Abs Velocity Meas (m/s)</v>
      </c>
      <c r="C50" s="70">
        <f>1000000/($C$168*2*$C$104*C$49)</f>
        <v>445.19224532224536</v>
      </c>
      <c r="D50" s="70">
        <f>1000000/($C$168*2*$C$104*D$49)</f>
        <v>445.19224532224536</v>
      </c>
      <c r="F50" s="43"/>
      <c r="G50" s="43"/>
      <c r="H50" s="43"/>
      <c r="I50" s="43"/>
      <c r="J50" s="43"/>
      <c r="K50" s="43"/>
      <c r="L50" s="43"/>
      <c r="M50" s="43"/>
      <c r="N50" s="43"/>
      <c r="O50" s="43"/>
      <c r="P50" s="43"/>
      <c r="Q50" s="43"/>
      <c r="R50" s="43"/>
      <c r="S50" s="43"/>
    </row>
    <row r="51" spans="1:19" x14ac:dyDescent="0.2">
      <c r="A51" s="91" t="s">
        <v>78</v>
      </c>
      <c r="B51" s="95" t="str">
        <f>'Parameters List'!B51</f>
        <v>Npoints (up to FFT length)</v>
      </c>
      <c r="C51" s="33">
        <f>FLOOR((1000*C$29/$C$104/C$49),16)</f>
        <v>1024</v>
      </c>
      <c r="D51" s="33">
        <f>FLOOR((1000*D$29/$C$104/D$49),16)</f>
        <v>96</v>
      </c>
      <c r="F51" s="43"/>
      <c r="G51" s="43"/>
      <c r="H51" s="43"/>
      <c r="I51" s="43"/>
      <c r="J51" s="43"/>
      <c r="K51" s="43"/>
      <c r="L51" s="43"/>
      <c r="M51" s="43"/>
      <c r="N51" s="43"/>
      <c r="O51" s="43"/>
      <c r="P51" s="43"/>
      <c r="Q51" s="43"/>
      <c r="R51" s="43"/>
      <c r="S51" s="43"/>
    </row>
    <row r="52" spans="1:19" x14ac:dyDescent="0.2">
      <c r="A52" s="91" t="s">
        <v>78</v>
      </c>
      <c r="B52" s="95" t="str">
        <f>'Parameters List'!B52</f>
        <v>FFT length (limited to 8192)</v>
      </c>
      <c r="C52" s="33">
        <f>2^CEILING(LOG10(C51)/LOG10(2),1)</f>
        <v>1024</v>
      </c>
      <c r="D52" s="33">
        <f>2^CEILING(LOG10(D51)/LOG10(2),1)</f>
        <v>128</v>
      </c>
      <c r="F52" s="43"/>
      <c r="G52" s="43"/>
      <c r="H52" s="43"/>
      <c r="I52" s="43"/>
      <c r="J52" s="43"/>
      <c r="K52" s="43"/>
      <c r="L52" s="43"/>
      <c r="M52" s="43"/>
      <c r="N52" s="43"/>
      <c r="O52" s="43"/>
      <c r="P52" s="43"/>
      <c r="Q52" s="43"/>
      <c r="R52" s="43"/>
      <c r="S52" s="43"/>
    </row>
    <row r="53" spans="1:19" x14ac:dyDescent="0.2">
      <c r="A53" s="91"/>
      <c r="B53" s="95" t="str">
        <f>'Parameters List'!B53</f>
        <v>NCRG(per rcvr,limited to 512)</v>
      </c>
      <c r="C53" s="67">
        <f>C$45*C$26</f>
        <v>44</v>
      </c>
      <c r="D53" s="67">
        <f>D$45*D$26</f>
        <v>0</v>
      </c>
      <c r="F53" s="43"/>
      <c r="G53" s="43"/>
      <c r="H53" s="43"/>
      <c r="I53" s="43"/>
      <c r="J53" s="43"/>
      <c r="K53" s="43"/>
      <c r="L53" s="43"/>
      <c r="M53" s="43"/>
      <c r="N53" s="43"/>
      <c r="O53" s="43"/>
      <c r="P53" s="43"/>
      <c r="Q53" s="43"/>
      <c r="R53" s="43"/>
      <c r="S53" s="43"/>
    </row>
    <row r="54" spans="1:19" x14ac:dyDescent="0.2">
      <c r="A54" s="91"/>
      <c r="B54" s="95" t="str">
        <f>'Parameters List'!B54</f>
        <v>NCRG(all rcvrs)</v>
      </c>
      <c r="C54" s="67">
        <f>C$53*$C$155</f>
        <v>220</v>
      </c>
      <c r="D54" s="67">
        <f>D$53*$C$155</f>
        <v>0</v>
      </c>
      <c r="F54" s="43"/>
      <c r="G54" s="43"/>
      <c r="H54" s="43"/>
      <c r="I54" s="43"/>
      <c r="J54" s="43"/>
      <c r="K54" s="43"/>
      <c r="L54" s="43"/>
      <c r="M54" s="43"/>
      <c r="N54" s="43"/>
      <c r="O54" s="43"/>
      <c r="P54" s="43"/>
      <c r="Q54" s="43"/>
      <c r="R54" s="43"/>
      <c r="S54" s="43"/>
    </row>
    <row r="55" spans="1:19" x14ac:dyDescent="0.2">
      <c r="A55" s="91"/>
      <c r="B55" s="95" t="str">
        <f>'Parameters List'!B55</f>
        <v>TCHIP (m)</v>
      </c>
      <c r="C55" s="67">
        <f>C46*$C$163*$C$174</f>
        <v>149.89622900000001</v>
      </c>
      <c r="D55" s="67">
        <f>D46*$C$163*$C$174</f>
        <v>44.968868700000002</v>
      </c>
      <c r="F55" s="43"/>
      <c r="G55" s="43"/>
      <c r="H55" s="43"/>
      <c r="I55" s="43"/>
      <c r="J55" s="43"/>
      <c r="K55" s="43"/>
      <c r="L55" s="43"/>
      <c r="M55" s="43"/>
      <c r="N55" s="43"/>
      <c r="O55" s="43"/>
      <c r="P55" s="43"/>
      <c r="Q55" s="43"/>
      <c r="R55" s="43"/>
      <c r="S55" s="43"/>
    </row>
    <row r="56" spans="1:19" x14ac:dyDescent="0.2">
      <c r="A56" s="91"/>
      <c r="B56" s="94" t="str">
        <f>'Parameters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'Parameters List'!B57</f>
        <v>Clutter Margin (m/s)</v>
      </c>
      <c r="C57" s="67">
        <f>IF($C$206+C$56&gt;0,$C$206+C$56+C$67*C$65*1,0)</f>
        <v>4.2275455615800421</v>
      </c>
      <c r="D57" s="67">
        <f>IF($C$206+D$56&gt;0,$C$206+D$56+D$67*D$65*1,0)</f>
        <v>35.530125310800415</v>
      </c>
      <c r="F57" s="43"/>
      <c r="G57" s="43"/>
      <c r="H57" s="43"/>
      <c r="I57" s="43"/>
      <c r="J57" s="43"/>
      <c r="K57" s="43"/>
      <c r="L57" s="43"/>
      <c r="M57" s="43"/>
      <c r="N57" s="43"/>
      <c r="O57" s="43"/>
      <c r="P57" s="43"/>
      <c r="Q57" s="43"/>
      <c r="R57" s="43"/>
      <c r="S57" s="43"/>
    </row>
    <row r="58" spans="1:19" x14ac:dyDescent="0.2">
      <c r="A58" s="91" t="s">
        <v>78</v>
      </c>
      <c r="B58" s="94" t="str">
        <f>'Parameters List'!B58</f>
        <v>Min Velocity (m/s)</v>
      </c>
      <c r="C58" s="64">
        <v>0</v>
      </c>
      <c r="D58" s="64">
        <v>0</v>
      </c>
      <c r="F58" s="43"/>
      <c r="G58" s="43"/>
      <c r="H58" s="43"/>
      <c r="I58" s="43"/>
      <c r="J58" s="43"/>
      <c r="K58" s="43"/>
      <c r="L58" s="43"/>
      <c r="M58" s="43"/>
      <c r="N58" s="43"/>
      <c r="O58" s="43"/>
      <c r="P58" s="43"/>
      <c r="Q58" s="43"/>
      <c r="R58" s="43"/>
      <c r="S58" s="43"/>
    </row>
    <row r="59" spans="1:19" x14ac:dyDescent="0.2">
      <c r="A59" s="91" t="s">
        <v>81</v>
      </c>
      <c r="B59" s="94" t="str">
        <f>'Parameters List'!B59</f>
        <v>Max Velocity (m/s)</v>
      </c>
      <c r="C59" s="64">
        <v>20</v>
      </c>
      <c r="D59" s="64">
        <v>20</v>
      </c>
      <c r="F59" s="43"/>
      <c r="G59" s="43"/>
      <c r="H59" s="43"/>
      <c r="I59" s="43"/>
      <c r="J59" s="43"/>
      <c r="K59" s="43"/>
      <c r="L59" s="43"/>
      <c r="M59" s="43"/>
      <c r="N59" s="43"/>
      <c r="O59" s="43"/>
      <c r="P59" s="43"/>
      <c r="Q59" s="43"/>
      <c r="R59" s="43"/>
      <c r="S59" s="43"/>
    </row>
    <row r="60" spans="1:19" x14ac:dyDescent="0.2">
      <c r="A60" s="91"/>
      <c r="B60" s="68" t="str">
        <f>'Parameters List'!B60</f>
        <v>Loss Velocity (m/s)</v>
      </c>
      <c r="C60" s="67">
        <f>C$38*1000/C$30</f>
        <v>3043.3063645075358</v>
      </c>
      <c r="D60" s="67">
        <f>D$38*1000/D$30</f>
        <v>9738.5803664241157</v>
      </c>
      <c r="F60" s="43"/>
      <c r="G60" s="43"/>
      <c r="H60" s="43"/>
      <c r="I60" s="43"/>
      <c r="J60" s="43"/>
      <c r="K60" s="43"/>
      <c r="L60" s="43"/>
      <c r="M60" s="43"/>
      <c r="N60" s="43"/>
      <c r="O60" s="43"/>
      <c r="P60" s="43"/>
      <c r="Q60" s="43"/>
      <c r="R60" s="43"/>
      <c r="S60" s="43"/>
    </row>
    <row r="61" spans="1:19" x14ac:dyDescent="0.2">
      <c r="A61" s="92"/>
      <c r="B61" s="68" t="str">
        <f>'Parameters List'!B61</f>
        <v>Velocity Loss (dB)</v>
      </c>
      <c r="C61" s="67">
        <f>IF(C$59&lt;C$60, 0, IF(C$47=1, IF(C$59&lt;2*C$60, (C$59 / C$60)*0.5*$C$203, 10), IF(C$47=0, IF(C$59&lt;2*C$60, (C$59 / C$60)*$C$202-$C$202/2, 10), 10)))+(-20*LOG10(ABS(SIN(PI()*C$59*$C$168*C$36*10^-6)/(PI()*C$59*$C$168*C$36*10^-6))))</f>
        <v>5.2658615684240766E-4</v>
      </c>
      <c r="D61" s="67">
        <f>IF(D$59&lt;D$60, 0, IF(D$47=1, IF(D$59&lt;2*D$60, (D$59 / D$60)*0.5*$C$203, 10), IF(D$47=0, IF(D$59&lt;2*D$60, (D$59 / D$60)*$C$202-$C$202/2, 10), 10)))+(-20*LOG10(ABS(SIN(PI()*D$59*$C$168*D$36*10^-6)/(PI()*D$59*$C$168*D$36*10^-6))))</f>
        <v>4.7392231192217846E-5</v>
      </c>
    </row>
    <row r="62" spans="1:19" x14ac:dyDescent="0.2">
      <c r="A62" s="92"/>
      <c r="B62" s="71" t="str">
        <f>'Parameters List'!B62</f>
        <v>Max Acceleration (m/s2)</v>
      </c>
      <c r="C62" s="64">
        <v>0</v>
      </c>
      <c r="D62" s="64">
        <v>0</v>
      </c>
    </row>
    <row r="63" spans="1:19" x14ac:dyDescent="0.2">
      <c r="A63" s="91"/>
      <c r="B63" s="68" t="str">
        <f>'Parameters List'!B63</f>
        <v>Loss Acceleration (m/s2)</v>
      </c>
      <c r="C63" s="67">
        <f>C$65*1000/C$30*$C$196</f>
        <v>33.54178708654495</v>
      </c>
      <c r="D63" s="67">
        <f>D$65*1000/D$30*$C$196</f>
        <v>2862.2324980518356</v>
      </c>
      <c r="F63" s="43"/>
      <c r="G63" s="43"/>
      <c r="H63" s="43"/>
      <c r="I63" s="43"/>
      <c r="J63" s="43"/>
      <c r="K63" s="43"/>
      <c r="L63" s="43"/>
      <c r="M63" s="43"/>
      <c r="N63" s="43"/>
      <c r="O63" s="43"/>
      <c r="P63" s="43"/>
      <c r="Q63" s="43"/>
      <c r="R63" s="43"/>
      <c r="S63" s="43"/>
    </row>
    <row r="64" spans="1:19" x14ac:dyDescent="0.2">
      <c r="A64" s="92"/>
      <c r="B64" s="68" t="str">
        <f>'Parameters List'!B64</f>
        <v>Acceleration Loss (dB)</v>
      </c>
      <c r="C64" s="67">
        <f>IF( C$62 &gt;= C$63, C$62 / C$63 * $C$198, 0)</f>
        <v>0</v>
      </c>
      <c r="D64" s="67">
        <f>IF( D$62 &gt;= D$63, D$62 / D$63 * $C$198, 0)</f>
        <v>0</v>
      </c>
    </row>
    <row r="65" spans="1:19" x14ac:dyDescent="0.2">
      <c r="A65" s="91" t="s">
        <v>81</v>
      </c>
      <c r="B65" s="80" t="str">
        <f>'Parameters List'!B65</f>
        <v>fft2doppler (m/s per FFT bin)</v>
      </c>
      <c r="C65" s="70">
        <f>$C$106*1000/C$49/C$52/$C$168</f>
        <v>0.86951610414501046</v>
      </c>
      <c r="D65" s="70">
        <f>$C$106*1000/D$49/D$52/$C$168</f>
        <v>6.9561288331600837</v>
      </c>
      <c r="F65" s="43"/>
      <c r="G65" s="43"/>
      <c r="H65" s="43"/>
      <c r="I65" s="43"/>
      <c r="J65" s="43"/>
      <c r="K65" s="43"/>
      <c r="L65" s="43"/>
      <c r="M65" s="43"/>
      <c r="N65" s="43"/>
      <c r="O65" s="43"/>
      <c r="P65" s="43"/>
      <c r="Q65" s="43"/>
      <c r="R65" s="43"/>
      <c r="S65" s="43"/>
    </row>
    <row r="66" spans="1:19" x14ac:dyDescent="0.2">
      <c r="A66" s="91"/>
      <c r="B66" s="80" t="str">
        <f>'Parameters List'!B66</f>
        <v>Optimal Peak2Peak Seperation (m/s)</v>
      </c>
      <c r="C66" s="70">
        <f>(C$67+C$68+(C$67+1))*C$65</f>
        <v>18.259838187045219</v>
      </c>
      <c r="D66" s="70">
        <f>(D$67+D$68+(D$67+1))*D$65</f>
        <v>187.81547849532225</v>
      </c>
      <c r="F66" s="43"/>
      <c r="G66" s="43"/>
      <c r="H66" s="43"/>
      <c r="I66" s="43"/>
      <c r="J66" s="43"/>
      <c r="K66" s="43"/>
      <c r="L66" s="43"/>
      <c r="M66" s="43"/>
      <c r="N66" s="43"/>
      <c r="O66" s="43"/>
      <c r="P66" s="43"/>
      <c r="Q66" s="43"/>
      <c r="R66" s="43"/>
      <c r="S66" s="43"/>
    </row>
    <row r="67" spans="1:19" x14ac:dyDescent="0.2">
      <c r="A67" s="91"/>
      <c r="B67" s="95" t="str">
        <f>'Parameters List'!B67</f>
        <v># FFT bins of peak spreading (one side)</v>
      </c>
      <c r="C67" s="67">
        <f>ROUND((($C$200-1) / 2) * (C$52 / C$51) + (C$62*C$30/1000)/C$65,0)</f>
        <v>4</v>
      </c>
      <c r="D67" s="67">
        <f>ROUND((($C$200-1) / 2) * (D$52 / D$51) + (D$62*D$30/1000)/D$65,0)</f>
        <v>5</v>
      </c>
      <c r="F67" s="43"/>
      <c r="G67" s="43"/>
      <c r="H67" s="43"/>
      <c r="I67" s="43"/>
      <c r="J67" s="43"/>
      <c r="K67" s="43"/>
      <c r="L67" s="43"/>
      <c r="M67" s="43"/>
      <c r="N67" s="43"/>
      <c r="O67" s="43"/>
      <c r="P67" s="43"/>
      <c r="Q67" s="43"/>
      <c r="R67" s="43"/>
      <c r="S67" s="43"/>
    </row>
    <row r="68" spans="1:19" x14ac:dyDescent="0.2">
      <c r="A68" s="91"/>
      <c r="B68" s="95" t="str">
        <f>'Parameters List'!B68</f>
        <v># FFT bins for noise estimation (one side)</v>
      </c>
      <c r="C68" s="67">
        <f>ROUND((($C$201-1)/2*$C$197/$C$199)*(C$52/C$51),0)</f>
        <v>12</v>
      </c>
      <c r="D68" s="67">
        <f>ROUND((($C$201-1)/2*$C$197/$C$199)*(D$52/D$51),0)</f>
        <v>16</v>
      </c>
      <c r="F68" s="43"/>
      <c r="G68" s="43"/>
      <c r="H68" s="43"/>
      <c r="I68" s="43"/>
      <c r="J68" s="43"/>
      <c r="K68" s="43"/>
      <c r="L68" s="43"/>
      <c r="M68" s="43"/>
      <c r="N68" s="43"/>
      <c r="O68" s="43"/>
      <c r="P68" s="43"/>
      <c r="Q68" s="43"/>
      <c r="R68" s="43"/>
      <c r="S68" s="43"/>
    </row>
    <row r="69" spans="1:19" x14ac:dyDescent="0.2">
      <c r="A69" s="91"/>
      <c r="B69" s="95" t="str">
        <f>'Parameters List'!B69</f>
        <v># FFT bins of clutter margin (one side)</v>
      </c>
      <c r="C69" s="67">
        <f>C$57/C$65</f>
        <v>4.8619520000000005</v>
      </c>
      <c r="D69" s="67">
        <f>D$57/D$65</f>
        <v>5.1077439999999994</v>
      </c>
      <c r="F69" s="43"/>
      <c r="G69" s="43"/>
      <c r="H69" s="43"/>
      <c r="I69" s="43"/>
      <c r="J69" s="43"/>
      <c r="K69" s="43"/>
      <c r="L69" s="43"/>
      <c r="M69" s="43"/>
      <c r="N69" s="43"/>
      <c r="O69" s="43"/>
      <c r="P69" s="43"/>
      <c r="Q69" s="43"/>
      <c r="R69" s="43"/>
      <c r="S69" s="43"/>
    </row>
    <row r="70" spans="1:19" x14ac:dyDescent="0.2">
      <c r="A70" s="91"/>
      <c r="B70" s="95" t="str">
        <f>'Parameters List'!B70</f>
        <v># FFT bins to min velocity</v>
      </c>
      <c r="C70" s="67">
        <f>FLOOR(C$58/C$65,1)</f>
        <v>0</v>
      </c>
      <c r="D70" s="67">
        <f>FLOOR(D$58/D$65,1)</f>
        <v>0</v>
      </c>
      <c r="F70" s="43"/>
      <c r="G70" s="43"/>
      <c r="H70" s="43"/>
      <c r="I70" s="43"/>
      <c r="J70" s="43"/>
      <c r="K70" s="43"/>
      <c r="L70" s="43"/>
      <c r="M70" s="43"/>
      <c r="N70" s="43"/>
      <c r="O70" s="43"/>
      <c r="P70" s="43"/>
      <c r="Q70" s="43"/>
      <c r="R70" s="43"/>
      <c r="S70" s="43"/>
    </row>
    <row r="71" spans="1:19" x14ac:dyDescent="0.2">
      <c r="A71" s="91"/>
      <c r="B71" s="95" t="str">
        <f>'Parameters List'!B71</f>
        <v># FFT bins to max velocity</v>
      </c>
      <c r="C71" s="67">
        <f>CEILING(C$59/C$65,1)</f>
        <v>24</v>
      </c>
      <c r="D71" s="67">
        <f>CEILING(D$59/D$65,1)</f>
        <v>3</v>
      </c>
      <c r="F71" s="43"/>
      <c r="G71" s="43"/>
      <c r="H71" s="43"/>
      <c r="I71" s="43"/>
      <c r="J71" s="43"/>
      <c r="K71" s="43"/>
      <c r="L71" s="43"/>
      <c r="M71" s="43"/>
      <c r="N71" s="43"/>
      <c r="O71" s="43"/>
      <c r="P71" s="43"/>
      <c r="Q71" s="43"/>
      <c r="R71" s="43"/>
      <c r="S71" s="43"/>
    </row>
    <row r="72" spans="1:19" x14ac:dyDescent="0.2">
      <c r="A72" s="91" t="s">
        <v>81</v>
      </c>
      <c r="B72" s="95" t="str">
        <f>'Parameters List'!B72</f>
        <v>Noise Mask (example: '-13,-4,4,13)</v>
      </c>
      <c r="C72" s="67" t="str">
        <f>CONCATENATE(TEXT(-C$68-C$67,"0"),",",TEXT(-C$67-1,"0"),",",TEXT(C$67+1,"0"),",",TEXT(C$68+C$67,"0"))</f>
        <v>-16,-5,5,16</v>
      </c>
      <c r="D72" s="67" t="str">
        <f>CONCATENATE(TEXT(-D$68-D$67,"0"),",",TEXT(-D$67-1,"0"),",",TEXT(D$67+1,"0"),",",TEXT(D$68+D$67,"0"))</f>
        <v>-21,-6,6,21</v>
      </c>
      <c r="F72" s="43"/>
      <c r="G72" s="43"/>
      <c r="H72" s="43"/>
      <c r="I72" s="43"/>
      <c r="J72" s="43"/>
      <c r="K72" s="43"/>
      <c r="L72" s="43"/>
      <c r="M72" s="43"/>
      <c r="N72" s="43"/>
      <c r="O72" s="43"/>
      <c r="P72" s="43"/>
      <c r="Q72" s="43"/>
      <c r="R72" s="43"/>
      <c r="S72" s="43"/>
    </row>
    <row r="73" spans="1:19" x14ac:dyDescent="0.2">
      <c r="A73" s="91" t="s">
        <v>81</v>
      </c>
      <c r="B73" s="94" t="str">
        <f>'Parameters List'!B73</f>
        <v>Options (see Options List sheet)</v>
      </c>
      <c r="C73" s="101" t="s">
        <v>86</v>
      </c>
      <c r="D73" s="101" t="s">
        <v>86</v>
      </c>
      <c r="F73" s="43"/>
      <c r="G73" s="43"/>
      <c r="H73" s="43"/>
      <c r="I73" s="43"/>
      <c r="J73" s="43"/>
      <c r="K73" s="43"/>
      <c r="L73" s="43"/>
      <c r="M73" s="43"/>
      <c r="N73" s="43"/>
      <c r="O73" s="43"/>
      <c r="P73" s="43"/>
      <c r="Q73" s="43"/>
      <c r="R73" s="43"/>
      <c r="S73" s="43"/>
    </row>
    <row r="74" spans="1:19" x14ac:dyDescent="0.2">
      <c r="A74" s="91" t="s">
        <v>81</v>
      </c>
      <c r="B74" s="94" t="str">
        <f>'Parameters List'!B74</f>
        <v>SNR Threshold (dB)</v>
      </c>
      <c r="C74" s="73">
        <v>12</v>
      </c>
      <c r="D74" s="73">
        <v>14</v>
      </c>
      <c r="F74" s="43"/>
      <c r="G74" s="43"/>
      <c r="H74" s="43"/>
      <c r="I74" s="43"/>
      <c r="J74" s="43"/>
      <c r="K74" s="43"/>
      <c r="L74" s="43"/>
      <c r="M74" s="43"/>
      <c r="N74" s="43"/>
      <c r="O74" s="43"/>
      <c r="P74" s="43"/>
      <c r="Q74" s="43"/>
      <c r="R74" s="43"/>
      <c r="S74" s="43"/>
    </row>
    <row r="75" spans="1:19" x14ac:dyDescent="0.2">
      <c r="A75" s="91"/>
      <c r="B75" s="80" t="str">
        <f>'Parameters List'!B75</f>
        <v>Probability of False Alarm</v>
      </c>
      <c r="C75" s="70">
        <f>pf_PD_PFA_CFAR("pfa", C$74, C$120, C$121, C$68*2, 1)</f>
        <v>5.1888289024436828E-6</v>
      </c>
      <c r="D75" s="70">
        <f>pf_PD_PFA_CFAR("pfa", D$74, D$120, D$121, D$68*2, 1)</f>
        <v>8.8685631549264631E-9</v>
      </c>
      <c r="F75" s="43"/>
      <c r="G75" s="43"/>
      <c r="H75" s="43"/>
      <c r="I75" s="43"/>
      <c r="J75" s="43"/>
      <c r="K75" s="43"/>
      <c r="L75" s="43"/>
      <c r="M75" s="43"/>
      <c r="N75" s="43"/>
      <c r="O75" s="43"/>
      <c r="P75" s="43"/>
      <c r="Q75" s="43"/>
      <c r="R75" s="43"/>
      <c r="S75" s="43"/>
    </row>
    <row r="76" spans="1:19" x14ac:dyDescent="0.2">
      <c r="A76" s="91"/>
      <c r="B76" s="80" t="str">
        <f>'Parameters List'!B76</f>
        <v>Probability of False Alarm per CPI</v>
      </c>
      <c r="C76" s="70">
        <f>C$75*C$52*C$53</f>
        <v>0.23378787502850257</v>
      </c>
      <c r="D76" s="70">
        <f>D$75*D$52*D$53</f>
        <v>0</v>
      </c>
      <c r="F76" s="43"/>
      <c r="G76" s="43"/>
      <c r="H76" s="43"/>
      <c r="I76" s="43"/>
      <c r="J76" s="43"/>
      <c r="K76" s="43"/>
      <c r="L76" s="43"/>
      <c r="M76" s="43"/>
      <c r="N76" s="43"/>
      <c r="O76" s="43"/>
      <c r="P76" s="43"/>
      <c r="Q76" s="43"/>
      <c r="R76" s="43"/>
      <c r="S76" s="43"/>
    </row>
    <row r="77" spans="1:19" x14ac:dyDescent="0.2">
      <c r="A77" s="91"/>
      <c r="B77" s="80" t="str">
        <f>'Parameters List'!B77</f>
        <v>Probability of False Alarm per SEC</v>
      </c>
      <c r="C77" s="70">
        <f>C$76/(C$30/1000)</f>
        <v>4.7465378733372559</v>
      </c>
      <c r="D77" s="70">
        <f>D$76/(D$30/1000)</f>
        <v>0</v>
      </c>
      <c r="F77" s="43"/>
      <c r="G77" s="43"/>
      <c r="H77" s="43"/>
      <c r="I77" s="43"/>
      <c r="J77" s="43"/>
      <c r="K77" s="43"/>
      <c r="L77" s="43"/>
      <c r="M77" s="43"/>
      <c r="N77" s="43"/>
      <c r="O77" s="43"/>
      <c r="P77" s="43"/>
      <c r="Q77" s="43"/>
      <c r="R77" s="43"/>
      <c r="S77" s="43"/>
    </row>
    <row r="78" spans="1:19" x14ac:dyDescent="0.2">
      <c r="A78" s="91"/>
      <c r="B78" s="94" t="str">
        <f>'Parameters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'Parameters List'!B79</f>
        <v>STC Init Range (m)</v>
      </c>
      <c r="C79" s="70">
        <f>10^((40*LOG10(C$44)-(C$78-C$99)) / 40)</f>
        <v>1763.6940283606734</v>
      </c>
      <c r="D79" s="70">
        <f>10^((40*LOG10(D$44)-(D$78-D$99)) / 40)</f>
        <v>1080.0674008069891</v>
      </c>
      <c r="F79" s="43"/>
      <c r="G79" s="43"/>
      <c r="H79" s="43"/>
      <c r="I79" s="43"/>
      <c r="J79" s="43"/>
      <c r="K79" s="43"/>
      <c r="L79" s="43"/>
      <c r="M79" s="43"/>
      <c r="N79" s="43"/>
      <c r="O79" s="43"/>
      <c r="P79" s="43"/>
      <c r="Q79" s="43"/>
      <c r="R79" s="43"/>
      <c r="S79" s="43"/>
    </row>
    <row r="80" spans="1:19" x14ac:dyDescent="0.2">
      <c r="A80" s="91"/>
      <c r="B80" s="94" t="str">
        <f>'Parameters List'!B80</f>
        <v>Tapered Array (0/1)</v>
      </c>
      <c r="C80" s="101">
        <v>0</v>
      </c>
      <c r="D80" s="101">
        <v>0</v>
      </c>
      <c r="F80" s="43"/>
      <c r="G80" s="43"/>
      <c r="H80" s="43"/>
      <c r="I80" s="43"/>
      <c r="J80" s="43"/>
      <c r="K80" s="43"/>
      <c r="L80" s="43"/>
      <c r="M80" s="43"/>
      <c r="N80" s="43"/>
      <c r="O80" s="43"/>
      <c r="P80" s="43"/>
      <c r="Q80" s="43"/>
      <c r="R80" s="43"/>
      <c r="S80" s="43"/>
    </row>
    <row r="81" spans="1:19" x14ac:dyDescent="0.2">
      <c r="A81" s="91"/>
      <c r="B81" s="94" t="str">
        <f>'Parameters List'!B81</f>
        <v>AGC Set (1-6)</v>
      </c>
      <c r="C81" s="101">
        <v>1</v>
      </c>
      <c r="D81" s="101">
        <v>1</v>
      </c>
      <c r="F81" s="43"/>
      <c r="G81" s="43"/>
      <c r="H81" s="43"/>
      <c r="I81" s="43"/>
      <c r="J81" s="43"/>
      <c r="K81" s="43"/>
      <c r="L81" s="43"/>
      <c r="M81" s="43"/>
      <c r="N81" s="43"/>
      <c r="O81" s="43"/>
      <c r="P81" s="43"/>
      <c r="Q81" s="43"/>
      <c r="R81" s="43"/>
      <c r="S81" s="43"/>
    </row>
    <row r="82" spans="1:19" x14ac:dyDescent="0.2">
      <c r="A82" s="91"/>
      <c r="B82" s="95" t="str">
        <f>'Parameters List'!B82</f>
        <v>RF AGC (dB) - 1st Rx</v>
      </c>
      <c r="C82" s="67">
        <f>VLOOKUP(C$81,'AGC Set Table'!$A$3:$K$9,2,FALSE)</f>
        <v>0</v>
      </c>
      <c r="D82" s="67">
        <f>VLOOKUP(D$81,'AGC Set Table'!$A$3:$K$9,2,FALSE)</f>
        <v>0</v>
      </c>
      <c r="F82" s="43"/>
      <c r="G82" s="43"/>
      <c r="H82" s="43"/>
      <c r="I82" s="43"/>
      <c r="J82" s="43"/>
      <c r="K82" s="43"/>
      <c r="L82" s="43"/>
      <c r="M82" s="43"/>
      <c r="N82" s="43"/>
      <c r="O82" s="43"/>
      <c r="P82" s="43"/>
      <c r="Q82" s="43"/>
      <c r="R82" s="43"/>
      <c r="S82" s="43"/>
    </row>
    <row r="83" spans="1:19" x14ac:dyDescent="0.2">
      <c r="A83" s="91"/>
      <c r="B83" s="95" t="str">
        <f>'Parameters List'!B83</f>
        <v>IF AGC (dB) - 1st Rx</v>
      </c>
      <c r="C83" s="67">
        <f>VLOOKUP(C$81,'AGC Set Table'!$A$3:$K$9,3,FALSE)</f>
        <v>15</v>
      </c>
      <c r="D83" s="67">
        <f>VLOOKUP(D$81,'AGC Set Table'!$A$3:$K$9,3,FALSE)</f>
        <v>15</v>
      </c>
      <c r="F83" s="43"/>
      <c r="G83" s="43"/>
      <c r="H83" s="43"/>
      <c r="I83" s="43"/>
      <c r="J83" s="43"/>
      <c r="K83" s="43"/>
      <c r="L83" s="43"/>
      <c r="M83" s="43"/>
      <c r="N83" s="43"/>
      <c r="O83" s="43"/>
      <c r="P83" s="43"/>
      <c r="Q83" s="43"/>
      <c r="R83" s="43"/>
      <c r="S83" s="43"/>
    </row>
    <row r="84" spans="1:19" x14ac:dyDescent="0.2">
      <c r="A84" s="91"/>
      <c r="B84" s="95" t="str">
        <f>'Parameters List'!B84</f>
        <v>RF AGC (dB) - Ref Rx</v>
      </c>
      <c r="C84" s="67">
        <f>VLOOKUP(C$81,'AGC Set Table'!$A$3:$K$9,8,FALSE)</f>
        <v>0</v>
      </c>
      <c r="D84" s="67">
        <f>VLOOKUP(D$81,'AGC Set Table'!$A$3:$K$9,8,FALSE)</f>
        <v>0</v>
      </c>
      <c r="F84" s="43"/>
      <c r="G84" s="43"/>
      <c r="H84" s="43"/>
      <c r="I84" s="43"/>
      <c r="J84" s="43"/>
      <c r="K84" s="43"/>
      <c r="L84" s="43"/>
      <c r="M84" s="43"/>
      <c r="N84" s="43"/>
      <c r="O84" s="43"/>
      <c r="P84" s="43"/>
      <c r="Q84" s="43"/>
      <c r="R84" s="43"/>
      <c r="S84" s="43"/>
    </row>
    <row r="85" spans="1:19" x14ac:dyDescent="0.2">
      <c r="A85" s="91"/>
      <c r="B85" s="95" t="str">
        <f>'Parameters List'!B85</f>
        <v>IF AGC (dB) - Ref Rx</v>
      </c>
      <c r="C85" s="67">
        <f>VLOOKUP(C$81,'AGC Set Table'!$A$3:$K$9,9,FALSE)</f>
        <v>5</v>
      </c>
      <c r="D85" s="67">
        <f>VLOOKUP(D$81,'AGC Set Table'!$A$3:$K$9,9,FALSE)</f>
        <v>5</v>
      </c>
      <c r="F85" s="43"/>
      <c r="G85" s="43"/>
      <c r="H85" s="43"/>
      <c r="I85" s="43"/>
      <c r="J85" s="43"/>
      <c r="K85" s="43"/>
      <c r="L85" s="43"/>
      <c r="M85" s="43"/>
      <c r="N85" s="43"/>
      <c r="O85" s="43"/>
      <c r="P85" s="43"/>
      <c r="Q85" s="43"/>
      <c r="R85" s="43"/>
      <c r="S85" s="43"/>
    </row>
    <row r="86" spans="1:19" x14ac:dyDescent="0.2">
      <c r="A86" s="91"/>
      <c r="B86" s="95" t="str">
        <f>'Parameters List'!B86</f>
        <v>NF @ADCout (dB) - 1st Rx</v>
      </c>
      <c r="C86" s="67">
        <f>VLOOKUP(C$81,'AGC Set Table'!$A$3:$K$9,IF(C$80=0,6,IF(C$80=1,7)),FALSE)</f>
        <v>2.75</v>
      </c>
      <c r="D86" s="67">
        <f>VLOOKUP(D$81,'AGC Set Table'!$A$3:$K$9,IF(D$80=0,6,IF(D$80=1,7)),FALSE)</f>
        <v>2.75</v>
      </c>
      <c r="F86" s="43"/>
      <c r="G86" s="43"/>
      <c r="H86" s="43"/>
      <c r="I86" s="43"/>
      <c r="J86" s="43"/>
      <c r="K86" s="43"/>
      <c r="L86" s="43"/>
      <c r="M86" s="43"/>
      <c r="N86" s="43"/>
      <c r="O86" s="43"/>
      <c r="P86" s="43"/>
      <c r="Q86" s="43"/>
      <c r="R86" s="43"/>
      <c r="S86" s="43"/>
    </row>
    <row r="87" spans="1:19" x14ac:dyDescent="0.2">
      <c r="A87" s="91"/>
      <c r="B87" s="95" t="str">
        <f>'Parameters List'!B87</f>
        <v>NF @ADCout (dB) - Ref Rx</v>
      </c>
      <c r="C87" s="67">
        <f>VLOOKUP(C$81,'AGC Set Table'!$A$3:$K$9,11,FALSE)</f>
        <v>2.5299999999999998</v>
      </c>
      <c r="D87" s="67">
        <f>VLOOKUP(D$81,'AGC Set Table'!$A$3:$K$9,11,FALSE)</f>
        <v>2.5299999999999998</v>
      </c>
      <c r="F87" s="43"/>
      <c r="G87" s="43"/>
      <c r="H87" s="43"/>
      <c r="I87" s="43"/>
      <c r="J87" s="43"/>
      <c r="K87" s="43"/>
      <c r="L87" s="43"/>
      <c r="M87" s="43"/>
      <c r="N87" s="43"/>
      <c r="O87" s="43"/>
      <c r="P87" s="43"/>
      <c r="Q87" s="43"/>
      <c r="R87" s="43"/>
      <c r="S87" s="43"/>
    </row>
    <row r="88" spans="1:19" x14ac:dyDescent="0.2">
      <c r="A88" s="91" t="s">
        <v>81</v>
      </c>
      <c r="B88" s="94" t="str">
        <f>'Parameters List'!B88</f>
        <v>RCS (m^2)</v>
      </c>
      <c r="C88" s="74">
        <v>0.01</v>
      </c>
      <c r="D88" s="74">
        <v>0.1</v>
      </c>
      <c r="F88" s="43"/>
      <c r="G88" s="43"/>
      <c r="H88" s="43"/>
      <c r="I88" s="43"/>
      <c r="J88" s="43"/>
      <c r="K88" s="43"/>
      <c r="L88" s="43"/>
      <c r="M88" s="43"/>
      <c r="N88" s="43"/>
      <c r="O88" s="43"/>
      <c r="P88" s="43"/>
      <c r="Q88" s="43"/>
      <c r="R88" s="43"/>
      <c r="S88" s="43"/>
    </row>
    <row r="89" spans="1:19" x14ac:dyDescent="0.2">
      <c r="A89" s="91"/>
      <c r="B89" s="95" t="str">
        <f>'Parameters List'!B89</f>
        <v>σ(dB/m2)</v>
      </c>
      <c r="C89" s="67">
        <f>10*LOG10(C$88)</f>
        <v>-20</v>
      </c>
      <c r="D89" s="67">
        <f>10*LOG10(D$88)</f>
        <v>-10</v>
      </c>
      <c r="F89" s="43"/>
      <c r="G89" s="43"/>
      <c r="H89" s="43"/>
      <c r="I89" s="43"/>
      <c r="J89" s="43"/>
      <c r="K89" s="43"/>
      <c r="L89" s="43"/>
      <c r="M89" s="43"/>
      <c r="N89" s="43"/>
      <c r="O89" s="43"/>
      <c r="P89" s="43"/>
      <c r="Q89" s="43"/>
      <c r="R89" s="43"/>
      <c r="S89" s="43"/>
    </row>
    <row r="90" spans="1:19" x14ac:dyDescent="0.2">
      <c r="A90" s="91"/>
      <c r="B90" s="80" t="str">
        <f>'Parameters List'!B90</f>
        <v>Tgt min range @ADCin (dBm) - Ref. Rx</v>
      </c>
      <c r="C90" s="70">
        <f>$C$185+$C$186+$C$188+C$89+$C$189-$C$190-40*LOG10(C$43)+$C$171-C$84-C$85-$C$179*(C$80=1)</f>
        <v>-74.654927997546451</v>
      </c>
      <c r="D90" s="70">
        <f>$C$185+$C$186+$C$188+D$89+$C$189-$C$190-40*LOG10(D$43)+$C$171-D$84-D$85-$C$179*(D$80=1)</f>
        <v>-43.739778186332956</v>
      </c>
      <c r="F90" s="43"/>
      <c r="G90" s="43"/>
      <c r="H90" s="43"/>
      <c r="I90" s="43"/>
      <c r="J90" s="43"/>
      <c r="K90" s="43"/>
      <c r="L90" s="43"/>
      <c r="M90" s="43"/>
      <c r="N90" s="43"/>
      <c r="O90" s="43"/>
      <c r="P90" s="43"/>
      <c r="Q90" s="43"/>
      <c r="R90" s="43"/>
      <c r="S90" s="43"/>
    </row>
    <row r="91" spans="1:19" x14ac:dyDescent="0.2">
      <c r="A91" s="91"/>
      <c r="B91" s="80" t="str">
        <f>'Parameters List'!B91</f>
        <v>Tgt max range @ADCin (dBm) - Ref. Rx</v>
      </c>
      <c r="C91" s="70">
        <f>$C$185+$C$186+$C$188+C$89+$C$189-$C$190-40*LOG10(C$44)+$C$171-C$84-C$85-$C$179*(C$80=1)</f>
        <v>-91.60995770820395</v>
      </c>
      <c r="D91" s="70">
        <f>$C$185+$C$186+$C$188+D$89+$C$189-$C$190-40*LOG10(D$44)+$C$171-D$84-D$85-$C$179*(D$80=1)</f>
        <v>-59.922601689174996</v>
      </c>
      <c r="F91" s="43"/>
      <c r="G91" s="43"/>
      <c r="H91" s="43"/>
      <c r="I91" s="43"/>
      <c r="J91" s="43"/>
      <c r="K91" s="43"/>
      <c r="L91" s="43"/>
      <c r="M91" s="43"/>
      <c r="N91" s="43"/>
      <c r="O91" s="43"/>
      <c r="P91" s="43"/>
      <c r="Q91" s="43"/>
      <c r="R91" s="43"/>
      <c r="S91" s="43"/>
    </row>
    <row r="92" spans="1:19" x14ac:dyDescent="0.2">
      <c r="A92" s="91"/>
      <c r="B92" s="95" t="str">
        <f>'Parameters List'!B92</f>
        <v>1st Rx Noise @ADCout (dBm/bin)</v>
      </c>
      <c r="C92" s="67">
        <f>C$86+$C$173+$C$171-C$84-C$85+10*LOG10($C$175*10^6)-$C$178*(C$80=1)+10*LOG10($C$156/$C$157)</f>
        <v>-36.229400086720375</v>
      </c>
      <c r="D92" s="67">
        <f>D$86+$C$173+$C$171-D$84-D$85+10*LOG10($C$175*10^6)-$C$178*(D$80=1)+10*LOG10($C$156/$C$157)</f>
        <v>-36.229400086720375</v>
      </c>
      <c r="F92" s="43"/>
      <c r="G92" s="43"/>
      <c r="H92" s="43"/>
      <c r="I92" s="43"/>
      <c r="J92" s="43"/>
      <c r="K92" s="43"/>
      <c r="L92" s="43"/>
      <c r="M92" s="43"/>
      <c r="N92" s="43"/>
      <c r="O92" s="43"/>
      <c r="P92" s="43"/>
      <c r="Q92" s="43"/>
      <c r="R92" s="43"/>
      <c r="S92" s="43"/>
    </row>
    <row r="93" spans="1:19" x14ac:dyDescent="0.2">
      <c r="A93" s="91"/>
      <c r="B93" s="95" t="str">
        <f>'Parameters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'Parameters List'!B94</f>
        <v>Total Noise @ADCout (dBm/bin)</v>
      </c>
      <c r="C94" s="67">
        <f>10*LOG10(10^((C$93 + 10*LOG10($C$157))/10) + 10^((C$92 + 10*LOG10(($C$182-$C$157) / $C$156))/10))+ (10*LOG10(C$34) - C$35) * (C$34&gt;1)</f>
        <v>-27.096496928308373</v>
      </c>
      <c r="D94" s="67">
        <f>10*LOG10(10^((D$93 + 10*LOG10($C$157))/10) + 10^((D$92 + 10*LOG10(($C$182-$C$157) / $C$156))/10))+ (10*LOG10(D$34) - D$35) * (D$34&gt;1)</f>
        <v>-30.106796884948185</v>
      </c>
      <c r="F94" s="43"/>
      <c r="G94" s="43"/>
      <c r="H94" s="43"/>
      <c r="I94" s="43"/>
      <c r="J94" s="43"/>
      <c r="K94" s="43"/>
      <c r="L94" s="43"/>
      <c r="M94" s="43"/>
      <c r="N94" s="43"/>
      <c r="O94" s="43"/>
      <c r="P94" s="43"/>
      <c r="Q94" s="43"/>
      <c r="R94" s="43"/>
      <c r="S94" s="43"/>
    </row>
    <row r="95" spans="1:19" x14ac:dyDescent="0.2">
      <c r="A95" s="91" t="s">
        <v>81</v>
      </c>
      <c r="B95" s="95" t="str">
        <f>'Parameters List'!B95</f>
        <v>Rx Processing Gain (dB)</v>
      </c>
      <c r="C95" s="67">
        <f>10*LOG10(C$46/2 * C$48 * C$51 * C$49) - $C$195</f>
        <v>54.213033002746116</v>
      </c>
      <c r="D95" s="67">
        <f>10*LOG10(D$46/2 * D$48 * D$51 * D$49) - $C$195</f>
        <v>38.703958313940305</v>
      </c>
      <c r="F95" s="43"/>
      <c r="G95" s="43"/>
      <c r="H95" s="43"/>
      <c r="I95" s="43"/>
      <c r="J95" s="43"/>
      <c r="K95" s="43"/>
      <c r="L95" s="43"/>
      <c r="M95" s="43"/>
      <c r="N95" s="43"/>
      <c r="O95" s="43"/>
      <c r="P95" s="43"/>
      <c r="Q95" s="43"/>
      <c r="R95" s="43"/>
      <c r="S95" s="43"/>
    </row>
    <row r="96" spans="1:19" x14ac:dyDescent="0.2">
      <c r="A96" s="91"/>
      <c r="B96" s="95" t="str">
        <f>'Parameters List'!B96</f>
        <v>Total Processing Gain (dB)</v>
      </c>
      <c r="C96" s="67">
        <f>C$95 + 20*LOG10($C$182) + (20*LOG10(C$34) - 2 * C$35) * (C$34&gt;1)-$C$179*(C$80=1)-$C$177*(C$80=1)</f>
        <v>92.489310050420443</v>
      </c>
      <c r="D96" s="67">
        <f>D$95 + 20*LOG10($C$182) + (20*LOG10(D$34) - 2 * D$35) * (D$34&gt;1)-$C$179*(D$80=1)-$C$177*(D$80=1)</f>
        <v>70.959635448335007</v>
      </c>
      <c r="F96" s="43"/>
      <c r="G96" s="43"/>
      <c r="H96" s="43"/>
      <c r="I96" s="43"/>
      <c r="J96" s="43"/>
      <c r="K96" s="43"/>
      <c r="L96" s="43"/>
      <c r="M96" s="43"/>
      <c r="N96" s="43"/>
      <c r="O96" s="43"/>
      <c r="P96" s="43"/>
      <c r="Q96" s="43"/>
      <c r="R96" s="43"/>
      <c r="S96" s="43"/>
    </row>
    <row r="97" spans="1:19" x14ac:dyDescent="0.2">
      <c r="A97" s="92"/>
      <c r="B97" s="95" t="str">
        <f>'Parameters List'!B97</f>
        <v>Total Loss (dB)</v>
      </c>
      <c r="C97" s="67">
        <f>$C$191 + ($C$202*(C$47=0)+$C$203*(C$47=1)+$C$198) + C$61 + C$64</f>
        <v>1.6633115861568424</v>
      </c>
      <c r="D97" s="67">
        <f>$C$191 + ($C$202*(D$47=0)+$C$203*(D$47=1)+$C$198) + D$61 + D$64</f>
        <v>1.6628323922311923</v>
      </c>
    </row>
    <row r="98" spans="1:19" x14ac:dyDescent="0.2">
      <c r="A98" s="91"/>
      <c r="B98" s="80" t="str">
        <f>'Parameters List'!B98</f>
        <v>SNR min range (dB)</v>
      </c>
      <c r="C98" s="70">
        <f>C$90+C$96-C$94-C$97</f>
        <v>43.267567395025516</v>
      </c>
      <c r="D98" s="70">
        <f>D$90+D$96-D$94-D$97</f>
        <v>55.663821754719038</v>
      </c>
      <c r="F98" s="43"/>
      <c r="G98" s="43"/>
      <c r="H98" s="43"/>
      <c r="I98" s="43"/>
      <c r="J98" s="43"/>
      <c r="K98" s="43"/>
      <c r="L98" s="43"/>
      <c r="M98" s="43"/>
      <c r="N98" s="43"/>
      <c r="O98" s="43"/>
      <c r="P98" s="43"/>
      <c r="Q98" s="43"/>
      <c r="R98" s="43"/>
      <c r="S98" s="43"/>
    </row>
    <row r="99" spans="1:19" x14ac:dyDescent="0.2">
      <c r="A99" s="91"/>
      <c r="B99" s="80" t="str">
        <f>'Parameters List'!B99</f>
        <v>SNR max range (dB)</v>
      </c>
      <c r="C99" s="70">
        <f>C$91+C$96-C$94-C$97</f>
        <v>26.312537684368024</v>
      </c>
      <c r="D99" s="70">
        <f>D$91+D$96-D$94-D$97</f>
        <v>39.480998251876997</v>
      </c>
      <c r="F99" s="43"/>
      <c r="G99" s="43"/>
      <c r="H99" s="43"/>
      <c r="I99" s="43"/>
      <c r="J99" s="43"/>
      <c r="K99" s="43"/>
      <c r="L99" s="43"/>
      <c r="M99" s="43"/>
      <c r="N99" s="43"/>
      <c r="O99" s="43"/>
      <c r="P99" s="43"/>
      <c r="Q99" s="43"/>
      <c r="R99" s="43"/>
      <c r="S99" s="43"/>
    </row>
    <row r="100" spans="1:19" x14ac:dyDescent="0.2">
      <c r="A100" s="91"/>
      <c r="B100" s="95" t="str">
        <f>'Parameters List'!B100</f>
        <v>Duty cycle per beam</v>
      </c>
      <c r="C100" s="67">
        <f>C$36/$C$104</f>
        <v>0.27027027027027029</v>
      </c>
      <c r="D100" s="67">
        <f>D$36/$C$104</f>
        <v>8.1081081081081086E-2</v>
      </c>
      <c r="F100" s="43"/>
      <c r="G100" s="43"/>
      <c r="H100" s="43"/>
      <c r="I100" s="43"/>
      <c r="J100" s="43"/>
      <c r="K100" s="43"/>
      <c r="L100" s="43"/>
      <c r="M100" s="43"/>
      <c r="N100" s="43"/>
      <c r="O100" s="43"/>
      <c r="P100" s="43"/>
      <c r="Q100" s="43"/>
      <c r="R100" s="43"/>
      <c r="S100" s="43"/>
    </row>
    <row r="101" spans="1:19" x14ac:dyDescent="0.2">
      <c r="A101" s="91"/>
      <c r="B101" s="95" t="str">
        <f>'Parameters List'!B101</f>
        <v>Buffer size (KB)</v>
      </c>
      <c r="C101" s="67">
        <f>MROUND((IF(C$21, $C$210*$C$155, C$54)*C$51*8+64)/1024,4)</f>
        <v>1760</v>
      </c>
      <c r="D101" s="67">
        <f>MROUND((IF(D$21, $C$210*$C$155, D$54)*D$51*8+64)/1024,4)</f>
        <v>0</v>
      </c>
      <c r="F101" s="43"/>
      <c r="G101" s="43"/>
      <c r="H101" s="43"/>
      <c r="I101" s="43"/>
      <c r="J101" s="43"/>
      <c r="K101" s="43"/>
      <c r="L101" s="43"/>
      <c r="M101" s="43"/>
      <c r="N101" s="43"/>
      <c r="O101" s="43"/>
      <c r="P101" s="43"/>
      <c r="Q101" s="43"/>
      <c r="R101" s="43"/>
      <c r="S101" s="43"/>
    </row>
    <row r="102" spans="1:19" x14ac:dyDescent="0.2">
      <c r="A102" s="91"/>
      <c r="B102" s="95" t="str">
        <f>'Parameters List'!B102</f>
        <v>PCIe Rate MB/s</v>
      </c>
      <c r="C102" s="67">
        <f>C$101*1024/C$30/1024</f>
        <v>35.732848232848227</v>
      </c>
      <c r="D102" s="67">
        <f>D$101*1024/D$30/1024</f>
        <v>0</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'Parameters List'!B104</f>
        <v>Total PRI (μs)</v>
      </c>
      <c r="C104" s="77">
        <f>(SUMIF($E$13:$AJ$13,"=1",$E$18:$AJ$18)*C$46+SUMIF($E$13:$AJ$13,"=2",$E$18:$AJ$18)*D$46)*$C$174+$C$208+COUNTIFS(E$13:AJ$13,"=1",E$15:AJ$15,"=1") * C$32 + COUNTIFS(E$13:AJ$13,"=1",E$15:AJ$15,"=2") * C$33 + COUNTIFS(E$13:AJ$13,"=2",E$15:AJ$15,"=1") * D$32 + COUNTIFS(E$13:AJ$13,"=2",E$15:AJ$15,"=2") * D$33</f>
        <v>48.1</v>
      </c>
      <c r="F104" s="43"/>
      <c r="G104" s="43"/>
      <c r="H104" s="43"/>
      <c r="I104" s="43"/>
      <c r="J104" s="43"/>
      <c r="K104" s="43"/>
      <c r="L104" s="43"/>
      <c r="M104" s="43"/>
      <c r="N104" s="43"/>
      <c r="O104" s="43"/>
      <c r="P104" s="43"/>
      <c r="Q104" s="43"/>
      <c r="R104" s="43"/>
      <c r="S104" s="43"/>
    </row>
    <row r="105" spans="1:19" x14ac:dyDescent="0.2">
      <c r="B105" s="76" t="str">
        <f>'Parameters List'!B105</f>
        <v>Unambiguous Range (km)</v>
      </c>
      <c r="C105" s="77">
        <f>$C$104*$C$163/1000</f>
        <v>7.2100086149000004</v>
      </c>
      <c r="F105" s="43"/>
      <c r="G105" s="43"/>
      <c r="H105" s="43"/>
      <c r="I105" s="43"/>
      <c r="J105" s="43"/>
      <c r="K105" s="43"/>
      <c r="L105" s="43"/>
      <c r="M105" s="43"/>
      <c r="N105" s="43"/>
      <c r="O105" s="43"/>
      <c r="P105" s="43"/>
      <c r="Q105" s="43"/>
      <c r="R105" s="43"/>
      <c r="S105" s="43"/>
    </row>
    <row r="106" spans="1:19" x14ac:dyDescent="0.2">
      <c r="B106" s="76" t="str">
        <f>'Parameters List'!B106</f>
        <v>Total PRF (kHz)</v>
      </c>
      <c r="C106" s="77">
        <f>1000/$C$104</f>
        <v>20.79002079002079</v>
      </c>
      <c r="F106" s="43"/>
      <c r="G106" s="43"/>
      <c r="H106" s="43"/>
      <c r="I106" s="43"/>
      <c r="J106" s="43"/>
      <c r="K106" s="43"/>
      <c r="L106" s="43"/>
      <c r="M106" s="43"/>
      <c r="N106" s="43"/>
      <c r="O106" s="43"/>
      <c r="P106" s="43"/>
      <c r="Q106" s="43"/>
      <c r="R106" s="43"/>
      <c r="S106" s="43"/>
    </row>
    <row r="107" spans="1:19" x14ac:dyDescent="0.2">
      <c r="B107" s="76" t="str">
        <f>'Parameters List'!B107</f>
        <v>Folding (Blind) Velocity (m/s)</v>
      </c>
      <c r="C107" s="77">
        <f>1000*$C$106/$C$168</f>
        <v>890.38449064449071</v>
      </c>
      <c r="F107" s="43"/>
      <c r="G107" s="43"/>
      <c r="H107" s="43"/>
      <c r="I107" s="43"/>
      <c r="J107" s="43"/>
      <c r="K107" s="43"/>
      <c r="L107" s="43"/>
      <c r="M107" s="43"/>
      <c r="N107" s="43"/>
      <c r="O107" s="43"/>
      <c r="P107" s="43"/>
      <c r="Q107" s="43"/>
      <c r="R107" s="43"/>
      <c r="S107" s="43"/>
    </row>
    <row r="108" spans="1:19" x14ac:dyDescent="0.2">
      <c r="B108" s="76" t="str">
        <f>'Parameters List'!B108</f>
        <v>Max Trk Vr STD for Res Vel Amb (m/s)</v>
      </c>
      <c r="C108" s="77">
        <f>$C$107/4</f>
        <v>222.59612266112268</v>
      </c>
      <c r="F108" s="43"/>
      <c r="G108" s="43"/>
      <c r="H108" s="43"/>
      <c r="I108" s="43"/>
      <c r="J108" s="43"/>
      <c r="K108" s="43"/>
      <c r="L108" s="43"/>
      <c r="M108" s="43"/>
      <c r="N108" s="43"/>
      <c r="O108" s="43"/>
      <c r="P108" s="43"/>
      <c r="Q108" s="43"/>
      <c r="R108" s="43"/>
      <c r="S108" s="43"/>
    </row>
    <row r="109" spans="1:19" x14ac:dyDescent="0.2">
      <c r="B109" s="76" t="str">
        <f>'Parameters List'!B109</f>
        <v>Antenna 1 PA Duty cycle</v>
      </c>
      <c r="C109" s="77">
        <f>C$100*IF(C$27&gt;0,C$27,C$26)+D$100*IF(D$27&gt;0,D$27,D$26)</f>
        <v>0.27027027027027029</v>
      </c>
      <c r="F109" s="43"/>
      <c r="G109" s="43"/>
      <c r="H109" s="43"/>
      <c r="I109" s="43"/>
      <c r="J109" s="43"/>
      <c r="K109" s="43"/>
      <c r="L109" s="43"/>
      <c r="M109" s="43"/>
      <c r="N109" s="43"/>
      <c r="O109" s="43"/>
      <c r="P109" s="43"/>
      <c r="Q109" s="43"/>
      <c r="R109" s="43"/>
      <c r="S109" s="43"/>
    </row>
    <row r="110" spans="1:19" x14ac:dyDescent="0.2">
      <c r="B110" s="76" t="str">
        <f>'Parameters List'!B110</f>
        <v>Antenna 2 PA Duty cycle</v>
      </c>
      <c r="C110" s="77">
        <f>C$100*IF(C$28&gt;0,C$28,C$26)+D$100*IF(D$28&gt;0,D$28,D$26)</f>
        <v>0.27027027027027029</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'Parameters List'!B112</f>
        <v>Tgt RCS (m^2):</v>
      </c>
      <c r="C112" s="74">
        <v>100</v>
      </c>
      <c r="D112" s="74">
        <v>0.1</v>
      </c>
      <c r="F112" s="43"/>
      <c r="G112" s="43"/>
      <c r="H112" s="43"/>
      <c r="I112" s="43"/>
      <c r="J112" s="43"/>
      <c r="K112" s="43"/>
      <c r="L112" s="43"/>
      <c r="M112" s="43"/>
      <c r="N112" s="43"/>
      <c r="O112" s="43"/>
      <c r="P112" s="43"/>
      <c r="Q112" s="43"/>
      <c r="R112" s="43"/>
      <c r="S112" s="43"/>
    </row>
    <row r="113" spans="2:19" x14ac:dyDescent="0.2">
      <c r="B113" s="78" t="str">
        <f>'Parameters List'!B113</f>
        <v>SNR @ Range (m):</v>
      </c>
      <c r="C113" s="74">
        <v>50000</v>
      </c>
      <c r="D113" s="74">
        <f>$C$163*D$36 + D$41</f>
        <v>584.59529310000005</v>
      </c>
    </row>
    <row r="114" spans="2:19" x14ac:dyDescent="0.2">
      <c r="B114" s="79" t="str">
        <f>'Parameters List'!B114</f>
        <v>Tgt @ADCin (dBm) - Ref. Rx</v>
      </c>
      <c r="C114" s="70">
        <f>$C$185+$C$186+$C$188+10*LOG10(C$112)+$C$189-$C$190-40*LOG10(C$113)+$C$171-C$84-C$85-$C$179*(C$80=1)</f>
        <v>-91.024365788155876</v>
      </c>
      <c r="D114" s="70">
        <f>$C$185+$C$186+$C$188+10*LOG10(D$112)+$C$189-$C$190-40*LOG10(D$113)+$C$171-D$84-D$85-$C$179*(D$80=1)</f>
        <v>-43.739778186332956</v>
      </c>
    </row>
    <row r="115" spans="2:19" x14ac:dyDescent="0.2">
      <c r="B115" s="95" t="str">
        <f>'Parameters List'!B115</f>
        <v>Tgt @ADCin (dBm) - 1st Rx - no calib.</v>
      </c>
      <c r="C115" s="70">
        <f>C$114-($C$188+$C$171-C$84-C$85-$C$179*(C$80=1))+$C$187+$C$170-C$82-C$83-$C$177*(C$80=1)</f>
        <v>-85.024365788155876</v>
      </c>
      <c r="D115" s="70">
        <f>D$114-($C$188+$C$171-D$84-D$85-$C$179*(D$80=1))+$C$187+$C$170-D$82-D$83-$C$177*(D$80=1)</f>
        <v>-37.739778186332956</v>
      </c>
      <c r="F115" s="43"/>
      <c r="G115" s="43"/>
      <c r="H115" s="43"/>
      <c r="I115" s="43"/>
      <c r="J115" s="43"/>
      <c r="K115" s="43"/>
      <c r="L115" s="43"/>
      <c r="M115" s="43"/>
      <c r="N115" s="43"/>
      <c r="O115" s="43"/>
      <c r="P115" s="43"/>
      <c r="Q115" s="43"/>
      <c r="R115" s="43"/>
      <c r="S115" s="43"/>
    </row>
    <row r="116" spans="2:19" x14ac:dyDescent="0.2">
      <c r="B116" s="95" t="str">
        <f>'Parameters List'!B116</f>
        <v>Tgt @ADCout (dBm) - 1st Rx</v>
      </c>
      <c r="C116" s="70">
        <f>C$114+20*LOG10($C$156/$C$157)-$C$177*(C$80=1)</f>
        <v>-71.024365788155876</v>
      </c>
      <c r="D116" s="70">
        <f>D$114+20*LOG10($C$156/$C$157)-$C$177*(D$80=1)</f>
        <v>-23.739778186332956</v>
      </c>
      <c r="F116" s="43"/>
      <c r="G116" s="43"/>
      <c r="H116" s="43"/>
      <c r="I116" s="43"/>
      <c r="J116" s="43"/>
      <c r="K116" s="43"/>
      <c r="L116" s="43"/>
      <c r="M116" s="43"/>
      <c r="N116" s="43"/>
      <c r="O116" s="43"/>
      <c r="P116" s="43"/>
      <c r="Q116" s="43"/>
      <c r="R116" s="43"/>
      <c r="S116" s="43"/>
    </row>
    <row r="117" spans="2:19" x14ac:dyDescent="0.2">
      <c r="B117" s="95" t="str">
        <f>'Parameters List'!B117</f>
        <v>Tgt @ADCout (dBm)</v>
      </c>
      <c r="C117" s="70">
        <f>20*LOG10(10^(C$114/20)+($C$155-1)*10^(C$116/20))+ (20*LOG10(C$34) - 2 * C$35) * (C$34&gt;1)</f>
        <v>-52.748088740481542</v>
      </c>
      <c r="D117" s="70">
        <f>20*LOG10(10^(D$114/20)+($C$155-1)*10^(D$116/20))+ (20*LOG10(D$34) - 2 * D$35) * (D$34&gt;1)</f>
        <v>-11.484101051938245</v>
      </c>
      <c r="G117" s="43"/>
      <c r="H117" s="43"/>
      <c r="I117" s="43"/>
      <c r="J117" s="43"/>
      <c r="K117" s="43"/>
      <c r="L117" s="43"/>
      <c r="M117" s="43"/>
      <c r="N117" s="43"/>
      <c r="O117" s="43"/>
      <c r="P117" s="43"/>
      <c r="Q117" s="43"/>
      <c r="R117" s="43"/>
      <c r="S117" s="43"/>
    </row>
    <row r="118" spans="2:19" x14ac:dyDescent="0.2">
      <c r="B118" s="79" t="str">
        <f>'Parameters List'!B118</f>
        <v>SNR (dB)</v>
      </c>
      <c r="C118" s="70">
        <f>C117-C$94-C$97+C$95</f>
        <v>26.898129604416106</v>
      </c>
      <c r="D118" s="70">
        <f>D117-D$94-D$97+D$95</f>
        <v>55.663821754719052</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'Parameters List'!B120</f>
        <v>Probability of Detection @ SNR (dB):</v>
      </c>
      <c r="C120" s="64">
        <v>15</v>
      </c>
      <c r="D120" s="64">
        <v>18</v>
      </c>
    </row>
    <row r="121" spans="2:19" x14ac:dyDescent="0.2">
      <c r="B121" s="71" t="str">
        <f>'Parameters List'!B121</f>
        <v>SWERLING (0, I, II, III, IV)</v>
      </c>
      <c r="C121" s="64">
        <v>1</v>
      </c>
      <c r="D121" s="64">
        <v>0</v>
      </c>
    </row>
    <row r="122" spans="2:19" x14ac:dyDescent="0.2">
      <c r="B122" s="79" t="str">
        <f>'Parameters List'!B122</f>
        <v>Probability of Detection</v>
      </c>
      <c r="C122" s="70">
        <f>pf_PD_PFA_CFAR("pd", C$74, C$120, C$121, C$68*2, 1)</f>
        <v>0.6181820390905115</v>
      </c>
      <c r="D122" s="70">
        <f>pf_PD_PFA_CFAR("pd", D$74, D$120, D$121, D$68*2, 1)</f>
        <v>0.99847320708078879</v>
      </c>
    </row>
    <row r="123" spans="2:19" x14ac:dyDescent="0.2">
      <c r="B123" s="71" t="str">
        <f>'Parameters List'!B123</f>
        <v>Pd for at least N of M detections (N,M)</v>
      </c>
      <c r="C123" s="105" t="s">
        <v>386</v>
      </c>
      <c r="D123" s="105" t="s">
        <v>386</v>
      </c>
    </row>
    <row r="124" spans="2:19" x14ac:dyDescent="0.2">
      <c r="B124" s="79" t="str">
        <f>'Parameters List'!B124</f>
        <v>Probability of Detection</v>
      </c>
      <c r="C124" s="70">
        <f>pf_PD_N_OUTOF_M(C$122, LEFT(C$123,FIND(",",C$123,1) - 1), MID(C$123,FIND(",",C$123,1)+1,100))</f>
        <v>0.92619322925372272</v>
      </c>
      <c r="D124" s="70">
        <f>pf_PD_N_OUTOF_M(D$122, LEFT(D$123,FIND(",",D$123,1) - 1), MID(D$123,FIND(",",D$123,1)+1,100))</f>
        <v>0.99999999997286315</v>
      </c>
    </row>
    <row r="125" spans="2:19" x14ac:dyDescent="0.2">
      <c r="B125" s="75"/>
    </row>
    <row r="126" spans="2:19" x14ac:dyDescent="0.2">
      <c r="B126" s="71" t="str">
        <f>'Parameters List'!B126</f>
        <v>Target Revisit Time (sec)</v>
      </c>
      <c r="C126" s="64">
        <v>0.05</v>
      </c>
      <c r="D126" s="64">
        <v>0.05</v>
      </c>
    </row>
    <row r="127" spans="2:19" x14ac:dyDescent="0.2">
      <c r="B127" s="68" t="str">
        <f>'Parameters List'!B127</f>
        <v>Acceleration Folding (m/s2)</v>
      </c>
      <c r="C127" s="67">
        <f>$C$107/C$126</f>
        <v>17807.689812889814</v>
      </c>
      <c r="D127" s="67">
        <f>$C$107/D$126</f>
        <v>17807.689812889814</v>
      </c>
    </row>
    <row r="128" spans="2:19" x14ac:dyDescent="0.2">
      <c r="B128" s="80" t="str">
        <f>'Parameters List'!B128</f>
        <v>Maximum Allowed Acceleration (m/s2)</v>
      </c>
      <c r="C128" s="70">
        <f>($C$107/4)/C$126</f>
        <v>4451.9224532224534</v>
      </c>
      <c r="D128" s="70">
        <f>($C$107/4)/D$126</f>
        <v>4451.9224532224534</v>
      </c>
    </row>
    <row r="129" spans="2:19" x14ac:dyDescent="0.2">
      <c r="B129" s="80" t="str">
        <f>'Parameters List'!B129</f>
        <v>Acceleration Ambiguity (m/s2)</v>
      </c>
      <c r="C129" s="70">
        <f>C$127-C$128</f>
        <v>13355.767359667359</v>
      </c>
      <c r="D129" s="70">
        <f>D$127-D$128</f>
        <v>13355.767359667359</v>
      </c>
    </row>
    <row r="130" spans="2:19" x14ac:dyDescent="0.2">
      <c r="B130" s="75"/>
    </row>
    <row r="131" spans="2:19" x14ac:dyDescent="0.2">
      <c r="B131" s="78" t="str">
        <f>'Parameters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'Parameters List'!B132</f>
        <v>SNR @ Range (m):</v>
      </c>
      <c r="C132" s="74">
        <f>$C$163*C$36 + C$41</f>
        <v>1948.650977</v>
      </c>
      <c r="D132" s="74">
        <f>$C$163*D$36 + D$41</f>
        <v>584.59529310000005</v>
      </c>
    </row>
    <row r="133" spans="2:19" x14ac:dyDescent="0.2">
      <c r="B133" s="79" t="str">
        <f>'Parameters List'!B133</f>
        <v>Tgt @ADCin (dBm) - Ref. Rx</v>
      </c>
      <c r="C133" s="70">
        <f>$C$185+$C$186+$C$188+10*LOG10(C$131)+$C$189-$C$190-40*LOG10(C$132)+$C$171-C$84-C$85-$C$179*(C$80=1)</f>
        <v>-74.654927997546451</v>
      </c>
      <c r="D133" s="70">
        <f>$C$185+$C$186+$C$188+10*LOG10(D$131)+$C$189-$C$190-40*LOG10(D$132)+$C$171-D$84-D$85-$C$179*(D$80=1)</f>
        <v>-43.739778186332956</v>
      </c>
    </row>
    <row r="134" spans="2:19" x14ac:dyDescent="0.2">
      <c r="B134" s="78" t="str">
        <f>'Parameters List'!B134</f>
        <v>Interferer @ Range (m)</v>
      </c>
      <c r="C134" s="74">
        <v>10000</v>
      </c>
      <c r="D134" s="74">
        <v>10000</v>
      </c>
    </row>
    <row r="135" spans="2:19" x14ac:dyDescent="0.2">
      <c r="B135" s="79" t="str">
        <f>'Parameters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'Parameters List'!B136</f>
        <v>Interferer @ ADCin (dBm) - 1st Rx</v>
      </c>
      <c r="C136" s="70">
        <f>C$135+20*LOG10($C$156/$C$157)-$C$177*(C$80=1)</f>
        <v>27.926533025505833</v>
      </c>
      <c r="D136" s="70">
        <f>$C$185+$C$186+$C$187-$C$166+$C$189-$C$190/3*2-20*LOG10(D$134)+$C$170-D$84-D$85-$C$177*(D$80=1)</f>
        <v>23.926533025505833</v>
      </c>
    </row>
    <row r="137" spans="2:19" x14ac:dyDescent="0.2">
      <c r="B137" s="81" t="str">
        <f>'Parameters List'!B137</f>
        <v>Ref. Rx Phase Noise @ADCin (dBm/bin)</v>
      </c>
      <c r="C137" s="67">
        <f>C$135+$C$165+10*LOG10(1/(C$30*10^-3))+10*LOG10($C$175*10^6/($C$106*10^3))</f>
        <v>-71.155866627612667</v>
      </c>
      <c r="D137" s="67">
        <f>D$135+$C$165+10*LOG10(1/(D$30*10^-3))+10*LOG10($C$175*10^6/($C$106*10^3))</f>
        <v>-60.875579391610231</v>
      </c>
    </row>
    <row r="138" spans="2:19" x14ac:dyDescent="0.2">
      <c r="B138" s="81" t="str">
        <f>'Parameters List'!B138</f>
        <v>Ref. Rx Phase Noise @ADCout (dBm/bin)</v>
      </c>
      <c r="C138" s="67">
        <f>C$137+C$95</f>
        <v>-16.942833624866552</v>
      </c>
      <c r="D138" s="67">
        <f>D$137+D$95</f>
        <v>-22.171621077669926</v>
      </c>
    </row>
    <row r="139" spans="2:19" x14ac:dyDescent="0.2">
      <c r="B139" s="81" t="str">
        <f>'Parameters List'!B139</f>
        <v>Ref. Rx Total Noise @ADCout (dBm/bin)</v>
      </c>
      <c r="C139" s="67">
        <f>10*LOG10(10 ^ (C$138 / 10) + 10 ^ (C$93 / 10))</f>
        <v>-16.937970846191558</v>
      </c>
      <c r="D139" s="67">
        <f>10*LOG10(10 ^ (D$138 / 10) + 10 ^ (D$93 / 10))</f>
        <v>-22.155432945098731</v>
      </c>
    </row>
    <row r="140" spans="2:19" x14ac:dyDescent="0.2">
      <c r="B140" s="81" t="str">
        <f>'Parameters List'!B140</f>
        <v>1st Rx Phase Noise @ADCout (dBm/bin)</v>
      </c>
      <c r="C140" s="67">
        <f>C$136+$C$165+10*LOG10(1/(C$30*10^-3))+10*LOG10($C$175*10^6/($C$106*10^3))+C$95</f>
        <v>3.0571663751334484</v>
      </c>
      <c r="D140" s="67">
        <f>D$136+$C$165+10*LOG10(1/(D$30*10^-3))+10*LOG10($C$175*10^6/($C$106*10^3))+D$95</f>
        <v>-6.1716210776699256</v>
      </c>
    </row>
    <row r="141" spans="2:19" x14ac:dyDescent="0.2">
      <c r="B141" s="81" t="str">
        <f>'Parameters List'!B141</f>
        <v>1st Rx Total Noise @ADCout (dBm/bin)</v>
      </c>
      <c r="C141" s="67">
        <f>10*LOG10(10 ^ (C$140 / 10) + 10 ^ (C$92 / 10))</f>
        <v>3.057678177246681</v>
      </c>
      <c r="D141" s="67">
        <f>10*LOG10(10 ^ (D$140 / 10) + 10 ^ (D$92 / 10))</f>
        <v>-6.1673376422750081</v>
      </c>
    </row>
    <row r="142" spans="2:19" x14ac:dyDescent="0.2">
      <c r="B142" s="81" t="str">
        <f>'Parameters List'!B142</f>
        <v>Total Noise Power @ADCout (dBm/bin)</v>
      </c>
      <c r="C142" s="67">
        <f>10*LOG10((($C$155-1) * 10^(C$140/20) + 10^(C$138/20))^2*((C$34 - 10^(C$35/10))*(C$34&gt;1) + 1) ^ 2 + 10^(C$94/10))</f>
        <v>21.333505765730546</v>
      </c>
      <c r="D142" s="67">
        <f>10*LOG10((($C$155-1) * 10^(D$140/20) + 10^(D$138/20))^2*((D$34 - 10^(D$35/10))*(D$34&gt;1) + 1) ^ 2 + 10^(D$94/10))</f>
        <v>6.2081054464318708</v>
      </c>
    </row>
    <row r="143" spans="2:19" x14ac:dyDescent="0.2">
      <c r="B143" s="79" t="str">
        <f>'Parameters List'!B143</f>
        <v>SNR (dB)</v>
      </c>
      <c r="C143" s="70">
        <f>IF(C$134&lt;=0, C$133+C$96-C$94, C$133+C$96 -C$142)-C$97</f>
        <v>-5.1624352990133975</v>
      </c>
      <c r="D143" s="70">
        <f>IF(D$134&lt;=0, D$133+D$96-D$94, D$133+D$96 -D$142)-D$97</f>
        <v>19.348919423338987</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'Parameters List'!B146</f>
        <v>Ref Rx Noise @ADCout (dBm/bin)</v>
      </c>
      <c r="C146" s="70">
        <f>C$93-C$95</f>
        <v>-100.66243308946649</v>
      </c>
      <c r="D146" s="83">
        <f>D$93-D$95</f>
        <v>-85.153358400660679</v>
      </c>
      <c r="F146" s="43"/>
      <c r="G146" s="43"/>
      <c r="H146" s="43"/>
      <c r="I146" s="43"/>
      <c r="J146" s="43"/>
      <c r="K146" s="43"/>
      <c r="L146" s="43"/>
      <c r="M146" s="43"/>
      <c r="N146" s="43"/>
      <c r="O146" s="43"/>
      <c r="P146" s="43"/>
      <c r="Q146" s="43"/>
      <c r="R146" s="43"/>
      <c r="S146" s="43"/>
    </row>
    <row r="147" spans="2:19" x14ac:dyDescent="0.2">
      <c r="B147" s="82" t="str">
        <f>'Parameters List'!B147</f>
        <v>1st Rx Noise @ADCout (dBm/bin)</v>
      </c>
      <c r="C147" s="70">
        <f>C$92-C$95</f>
        <v>-90.442433089466491</v>
      </c>
      <c r="D147" s="83">
        <f>D$92-D$95</f>
        <v>-74.93335840066068</v>
      </c>
    </row>
    <row r="148" spans="2:19" ht="15" thickBot="1" x14ac:dyDescent="0.25">
      <c r="B148" s="84" t="str">
        <f>'Parameters List'!B148</f>
        <v>Beam Total Noise @ADCout (dBm/bin)</v>
      </c>
      <c r="C148" s="85">
        <f>C$94-C$95 - (10*LOG10(C$34) - C$35) * (C$34&gt;1)</f>
        <v>-84.319829887694297</v>
      </c>
      <c r="D148" s="86">
        <f>D$94-D$95 - (10*LOG10(D$34) - D$35) * (D$34&gt;1)</f>
        <v>-68.810755198888486</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'Parameters List'!B151</f>
        <v>Ref Rx Noise @ADCout (dBm/bin)</v>
      </c>
      <c r="C151" s="70">
        <f>C$139-C$95</f>
        <v>-71.151003848937677</v>
      </c>
      <c r="D151" s="83">
        <f>D$139-D$95</f>
        <v>-60.859391259039036</v>
      </c>
      <c r="F151" s="43"/>
      <c r="G151" s="43"/>
      <c r="H151" s="43"/>
      <c r="I151" s="43"/>
      <c r="J151" s="43"/>
      <c r="K151" s="43"/>
      <c r="L151" s="43"/>
      <c r="M151" s="43"/>
      <c r="N151" s="43"/>
      <c r="O151" s="43"/>
      <c r="P151" s="43"/>
      <c r="Q151" s="43"/>
      <c r="R151" s="43"/>
      <c r="S151" s="43"/>
    </row>
    <row r="152" spans="2:19" x14ac:dyDescent="0.2">
      <c r="B152" s="82" t="str">
        <f>'Parameters List'!B152</f>
        <v>1st Rx Noise @ADCout (dBm/bin)</v>
      </c>
      <c r="C152" s="70">
        <f>C$141-C$95</f>
        <v>-51.155354825499437</v>
      </c>
      <c r="D152" s="83">
        <f>D$141-D$95</f>
        <v>-44.871295956215313</v>
      </c>
    </row>
    <row r="153" spans="2:19" ht="15" thickBot="1" x14ac:dyDescent="0.25">
      <c r="B153" s="84" t="str">
        <f>'Parameters List'!B153</f>
        <v>Beam Total Noise @ADCout (dBm/bin)</v>
      </c>
      <c r="C153" s="85">
        <f>10*LOG10(10 ^ ((C$137 + C$96 - (20*LOG10(C$34) - 2*C$35) * (C$34&gt;1))/ 10) + 10 ^ ((C$94 - (10*LOG10(C$34) - C$35) * (C$34&gt;1)) / 10)) - C$95</f>
        <v>-38.900064808267352</v>
      </c>
      <c r="D153" s="86">
        <f>10*LOG10(10 ^ ((D$137 + D$96 - (20*LOG10(D$34) - 2*D$35) * (D$34&gt;1))/ 10) + 10 ^ ((D$94 - (10*LOG10(D$34) - D$35) * (D$34&gt;1)) / 10)) - D$95</f>
        <v>-28.619486654633697</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'General System Parameters'!B9</f>
        <v># Rcvrs</v>
      </c>
      <c r="C155" s="33">
        <f>'General System Parameters'!C9</f>
        <v>5</v>
      </c>
      <c r="F155" s="43"/>
      <c r="G155" s="43"/>
      <c r="H155" s="43"/>
      <c r="I155" s="43"/>
      <c r="J155" s="43"/>
      <c r="K155" s="43"/>
      <c r="L155" s="43"/>
      <c r="M155" s="43"/>
      <c r="N155" s="43"/>
      <c r="O155" s="43"/>
      <c r="P155" s="43"/>
      <c r="Q155" s="43"/>
      <c r="R155" s="43"/>
      <c r="S155" s="43"/>
    </row>
    <row r="156" spans="2:19" x14ac:dyDescent="0.2">
      <c r="B156" s="32" t="str">
        <f>'General System Parameters'!B10</f>
        <v># Patches in 1st Rx</v>
      </c>
      <c r="C156" s="33">
        <f>'General System Parameters'!C10</f>
        <v>10</v>
      </c>
      <c r="F156" s="43"/>
      <c r="G156" s="43"/>
      <c r="H156" s="43"/>
      <c r="I156" s="43"/>
      <c r="J156" s="43"/>
      <c r="K156" s="43"/>
      <c r="L156" s="43"/>
      <c r="M156" s="43"/>
      <c r="N156" s="43"/>
      <c r="O156" s="43"/>
      <c r="P156" s="43"/>
      <c r="Q156" s="43"/>
      <c r="R156" s="43"/>
      <c r="S156" s="43"/>
    </row>
    <row r="157" spans="2:19" x14ac:dyDescent="0.2">
      <c r="B157" s="32" t="str">
        <f>'General System Parameters'!B11</f>
        <v># Patches in Ref (Guard) Rx</v>
      </c>
      <c r="C157" s="33">
        <f>'General System Parameters'!C11</f>
        <v>1</v>
      </c>
      <c r="F157" s="43"/>
      <c r="G157" s="43"/>
      <c r="H157" s="43"/>
      <c r="I157" s="43"/>
      <c r="J157" s="43"/>
      <c r="K157" s="43"/>
      <c r="L157" s="43"/>
      <c r="M157" s="43"/>
      <c r="N157" s="43"/>
      <c r="O157" s="43"/>
      <c r="P157" s="43"/>
      <c r="Q157" s="43"/>
      <c r="R157" s="43"/>
      <c r="S157" s="43"/>
    </row>
    <row r="158" spans="2:19" x14ac:dyDescent="0.2">
      <c r="B158" s="32" t="str">
        <f>'General System Parameters'!B12</f>
        <v>Typical System Gain (dB) - 1st Rx</v>
      </c>
      <c r="C158" s="33">
        <f>'General System Parameters'!C12</f>
        <v>59.76</v>
      </c>
      <c r="F158" s="43"/>
      <c r="G158" s="43"/>
      <c r="H158" s="43"/>
      <c r="I158" s="43"/>
      <c r="J158" s="43"/>
      <c r="K158" s="43"/>
      <c r="L158" s="43"/>
      <c r="M158" s="43"/>
      <c r="N158" s="43"/>
      <c r="O158" s="43"/>
      <c r="P158" s="43"/>
      <c r="Q158" s="43"/>
      <c r="R158" s="43"/>
      <c r="S158" s="43"/>
    </row>
    <row r="159" spans="2:19" x14ac:dyDescent="0.2">
      <c r="B159" s="32" t="str">
        <f>'General System Parameters'!B13</f>
        <v>Typical System Gain (dB) - Ref (Guard) Rx</v>
      </c>
      <c r="C159" s="33">
        <f>'General System Parameters'!C13</f>
        <v>54.1</v>
      </c>
      <c r="F159" s="43"/>
      <c r="G159" s="43"/>
      <c r="H159" s="43"/>
      <c r="I159" s="43"/>
      <c r="J159" s="43"/>
      <c r="K159" s="43"/>
      <c r="L159" s="43"/>
      <c r="M159" s="43"/>
      <c r="N159" s="43"/>
      <c r="O159" s="43"/>
      <c r="P159" s="43"/>
      <c r="Q159" s="43"/>
      <c r="R159" s="43"/>
      <c r="S159" s="43"/>
    </row>
    <row r="160" spans="2:19" x14ac:dyDescent="0.2">
      <c r="B160" s="32" t="str">
        <f>'General System Parameters'!B14</f>
        <v>Typical 1st Rx Calibration (dB)</v>
      </c>
      <c r="C160" s="33">
        <f>'General System Parameters'!C14</f>
        <v>4.3400000000000105</v>
      </c>
      <c r="F160" s="43"/>
      <c r="G160" s="43"/>
      <c r="H160" s="43"/>
      <c r="I160" s="43"/>
      <c r="J160" s="43"/>
      <c r="K160" s="43"/>
      <c r="L160" s="43"/>
      <c r="M160" s="43"/>
      <c r="N160" s="43"/>
      <c r="O160" s="43"/>
      <c r="P160" s="43"/>
      <c r="Q160" s="43"/>
      <c r="R160" s="43"/>
      <c r="S160" s="43"/>
    </row>
    <row r="161" spans="2:19" x14ac:dyDescent="0.2">
      <c r="B161" s="32" t="str">
        <f>'General System Parameters'!B15</f>
        <v>System Propagation Delay (us)</v>
      </c>
      <c r="C161" s="33">
        <f>'General System Parameters'!C15</f>
        <v>0.15</v>
      </c>
      <c r="F161" s="43"/>
      <c r="G161" s="43"/>
      <c r="H161" s="43"/>
      <c r="I161" s="43"/>
      <c r="J161" s="43"/>
      <c r="K161" s="43"/>
      <c r="L161" s="43"/>
      <c r="M161" s="43"/>
      <c r="N161" s="43"/>
      <c r="O161" s="43"/>
      <c r="P161" s="43"/>
      <c r="Q161" s="43"/>
      <c r="R161" s="43"/>
      <c r="S161" s="43"/>
    </row>
    <row r="162" spans="2:19" x14ac:dyDescent="0.2">
      <c r="B162" s="32" t="str">
        <f>'General System Parameters'!B16</f>
        <v>c (m/s)</v>
      </c>
      <c r="C162" s="33">
        <f>'General System Parameters'!C16</f>
        <v>299792458</v>
      </c>
      <c r="F162" s="43"/>
      <c r="G162" s="43"/>
      <c r="H162" s="43"/>
      <c r="I162" s="43"/>
      <c r="J162" s="43"/>
      <c r="K162" s="43"/>
      <c r="L162" s="43"/>
      <c r="M162" s="43"/>
      <c r="N162" s="43"/>
      <c r="O162" s="43"/>
      <c r="P162" s="43"/>
      <c r="Q162" s="43"/>
      <c r="R162" s="43"/>
      <c r="S162" s="43"/>
    </row>
    <row r="163" spans="2:19" x14ac:dyDescent="0.2">
      <c r="B163" s="32" t="str">
        <f>'General System Parameters'!B17</f>
        <v>c/2 (m/μs)</v>
      </c>
      <c r="C163" s="33">
        <f>'General System Parameters'!C17</f>
        <v>149.89622900000001</v>
      </c>
      <c r="F163" s="43"/>
      <c r="G163" s="43"/>
      <c r="H163" s="43"/>
      <c r="I163" s="43"/>
      <c r="J163" s="43"/>
      <c r="K163" s="43"/>
      <c r="L163" s="43"/>
      <c r="M163" s="43"/>
      <c r="N163" s="43"/>
      <c r="O163" s="43"/>
      <c r="P163" s="43"/>
      <c r="Q163" s="43"/>
      <c r="R163" s="43"/>
      <c r="S163" s="43"/>
    </row>
    <row r="164" spans="2:19" x14ac:dyDescent="0.2">
      <c r="B164" s="30" t="str">
        <f>'General System Parameters'!B18</f>
        <v>Freq (GHz)</v>
      </c>
      <c r="C164" s="31">
        <f>'General System Parameters'!C18</f>
        <v>3.5</v>
      </c>
      <c r="F164" s="43"/>
      <c r="G164" s="43"/>
      <c r="H164" s="43"/>
      <c r="I164" s="43"/>
      <c r="J164" s="43"/>
      <c r="K164" s="43"/>
      <c r="L164" s="43"/>
      <c r="M164" s="43"/>
      <c r="N164" s="43"/>
      <c r="O164" s="43"/>
      <c r="P164" s="43"/>
      <c r="Q164" s="43"/>
      <c r="R164" s="43"/>
      <c r="S164" s="43"/>
    </row>
    <row r="165" spans="2:19" x14ac:dyDescent="0.2">
      <c r="B165" s="30" t="str">
        <f>'General System Parameters'!B19</f>
        <v>Phase Noise Level (dBc/Hz)</v>
      </c>
      <c r="C165" s="31">
        <f>'General System Parameters'!C19</f>
        <v>-125</v>
      </c>
      <c r="F165" s="43"/>
      <c r="G165" s="43"/>
      <c r="H165" s="43"/>
      <c r="I165" s="43"/>
      <c r="J165" s="43"/>
      <c r="K165" s="43"/>
      <c r="L165" s="43"/>
      <c r="M165" s="43"/>
      <c r="N165" s="43"/>
      <c r="O165" s="43"/>
      <c r="P165" s="43"/>
      <c r="Q165" s="43"/>
      <c r="R165" s="43"/>
      <c r="S165" s="43"/>
    </row>
    <row r="166" spans="2:19" x14ac:dyDescent="0.2">
      <c r="B166" s="30" t="str">
        <f>'General System Parameters'!B20</f>
        <v>Polarization Loss (dB)</v>
      </c>
      <c r="C166" s="31">
        <f>'General System Parameters'!C20</f>
        <v>0</v>
      </c>
      <c r="F166" s="43"/>
      <c r="G166" s="43"/>
      <c r="H166" s="43"/>
      <c r="I166" s="43"/>
      <c r="J166" s="43"/>
      <c r="K166" s="43"/>
      <c r="L166" s="43"/>
      <c r="M166" s="43"/>
      <c r="N166" s="43"/>
      <c r="O166" s="43"/>
      <c r="P166" s="43"/>
      <c r="Q166" s="43"/>
      <c r="R166" s="43"/>
      <c r="S166" s="43"/>
    </row>
    <row r="167" spans="2:19" x14ac:dyDescent="0.2">
      <c r="B167" s="34" t="str">
        <f>'General System Parameters'!B21</f>
        <v>λ (m)</v>
      </c>
      <c r="C167" s="35">
        <f>'General System Parameters'!C21</f>
        <v>8.5654988000000001E-2</v>
      </c>
      <c r="F167" s="43"/>
      <c r="G167" s="43"/>
      <c r="H167" s="43"/>
      <c r="I167" s="43"/>
      <c r="J167" s="43"/>
      <c r="K167" s="43"/>
      <c r="L167" s="43"/>
      <c r="M167" s="43"/>
      <c r="N167" s="43"/>
      <c r="O167" s="43"/>
      <c r="P167" s="43"/>
      <c r="Q167" s="43"/>
      <c r="R167" s="43"/>
      <c r="S167" s="43"/>
    </row>
    <row r="168" spans="2:19" x14ac:dyDescent="0.2">
      <c r="B168" s="34" t="str">
        <f>'General System Parameters'!B22</f>
        <v>Doppler factor (Hz/(m/sec))</v>
      </c>
      <c r="C168" s="35">
        <f>'General System Parameters'!C22</f>
        <v>23.349486663870643</v>
      </c>
      <c r="F168" s="43"/>
      <c r="G168" s="43"/>
      <c r="H168" s="43"/>
      <c r="I168" s="43"/>
      <c r="J168" s="43"/>
      <c r="K168" s="43"/>
      <c r="L168" s="43"/>
      <c r="M168" s="43"/>
      <c r="N168" s="43"/>
      <c r="O168" s="43"/>
      <c r="P168" s="43"/>
      <c r="Q168" s="43"/>
      <c r="R168" s="43"/>
      <c r="S168" s="43"/>
    </row>
    <row r="169" spans="2:19" x14ac:dyDescent="0.2">
      <c r="B169" s="36" t="str">
        <f>'General System Parameters'!B23</f>
        <v>ALC</v>
      </c>
      <c r="C169" s="31">
        <f>'General System Parameters'!C23</f>
        <v>0</v>
      </c>
      <c r="F169" s="43"/>
      <c r="G169" s="43"/>
      <c r="H169" s="43"/>
      <c r="I169" s="43"/>
      <c r="J169" s="43"/>
      <c r="K169" s="43"/>
      <c r="L169" s="43"/>
      <c r="M169" s="43"/>
      <c r="N169" s="43"/>
      <c r="O169" s="43"/>
      <c r="P169" s="43"/>
      <c r="Q169" s="43"/>
      <c r="R169" s="43"/>
      <c r="S169" s="43"/>
    </row>
    <row r="170" spans="2:19" x14ac:dyDescent="0.2">
      <c r="B170" s="36" t="str">
        <f>'General System Parameters'!B24</f>
        <v>Actual System Gain (dB) - 1st Rx</v>
      </c>
      <c r="C170" s="31">
        <f>'General System Parameters'!C24</f>
        <v>60</v>
      </c>
      <c r="F170" s="43"/>
      <c r="G170" s="43"/>
      <c r="H170" s="43"/>
      <c r="I170" s="43"/>
      <c r="J170" s="43"/>
      <c r="K170" s="43"/>
      <c r="L170" s="43"/>
      <c r="M170" s="43"/>
      <c r="N170" s="43"/>
      <c r="O170" s="43"/>
      <c r="P170" s="43"/>
      <c r="Q170" s="43"/>
      <c r="R170" s="43"/>
      <c r="S170" s="43"/>
    </row>
    <row r="171" spans="2:19" x14ac:dyDescent="0.2">
      <c r="B171" s="36" t="str">
        <f>'General System Parameters'!B25</f>
        <v>Actual System Gain (dB) - Ref Rx</v>
      </c>
      <c r="C171" s="31">
        <f>'General System Parameters'!C25</f>
        <v>54</v>
      </c>
      <c r="F171" s="43"/>
      <c r="G171" s="43"/>
      <c r="H171" s="43"/>
      <c r="I171" s="43"/>
      <c r="J171" s="43"/>
      <c r="K171" s="43"/>
      <c r="L171" s="43"/>
      <c r="M171" s="43"/>
      <c r="N171" s="43"/>
      <c r="O171" s="43"/>
      <c r="P171" s="43"/>
      <c r="Q171" s="43"/>
      <c r="R171" s="43"/>
      <c r="S171" s="43"/>
    </row>
    <row r="172" spans="2:19" x14ac:dyDescent="0.2">
      <c r="B172" s="34" t="str">
        <f>'General System Parameters'!B26</f>
        <v>Actual 1st Rx Calibration (dB)</v>
      </c>
      <c r="C172" s="35">
        <f>'General System Parameters'!C26</f>
        <v>4</v>
      </c>
      <c r="F172" s="43"/>
      <c r="G172" s="43"/>
      <c r="H172" s="43"/>
      <c r="I172" s="43"/>
      <c r="J172" s="43"/>
      <c r="K172" s="43"/>
      <c r="L172" s="43"/>
      <c r="M172" s="43"/>
      <c r="N172" s="43"/>
      <c r="O172" s="43"/>
      <c r="P172" s="43"/>
      <c r="Q172" s="43"/>
      <c r="R172" s="43"/>
      <c r="S172" s="43"/>
    </row>
    <row r="173" spans="2:19" x14ac:dyDescent="0.2">
      <c r="B173" s="32" t="str">
        <f>'General System Parameters'!B27</f>
        <v>KT (dBm/Hz)</v>
      </c>
      <c r="C173" s="33">
        <f>'General System Parameters'!C27</f>
        <v>-174</v>
      </c>
      <c r="F173" s="43"/>
      <c r="G173" s="43"/>
      <c r="H173" s="43"/>
      <c r="I173" s="43"/>
      <c r="J173" s="43"/>
      <c r="K173" s="43"/>
      <c r="L173" s="43"/>
      <c r="M173" s="43"/>
      <c r="N173" s="43"/>
      <c r="O173" s="43"/>
      <c r="P173" s="43"/>
      <c r="Q173" s="43"/>
      <c r="R173" s="43"/>
      <c r="S173" s="43"/>
    </row>
    <row r="174" spans="2:19" x14ac:dyDescent="0.2">
      <c r="B174" s="32" t="str">
        <f>'General System Parameters'!B28</f>
        <v>Sample Period (us)</v>
      </c>
      <c r="C174" s="33">
        <f>'General System Parameters'!C28</f>
        <v>1.2500000000000001E-2</v>
      </c>
      <c r="F174" s="43"/>
      <c r="G174" s="43"/>
      <c r="H174" s="43"/>
      <c r="I174" s="43"/>
      <c r="J174" s="43"/>
      <c r="K174" s="43"/>
      <c r="L174" s="43"/>
      <c r="M174" s="43"/>
      <c r="N174" s="43"/>
      <c r="O174" s="43"/>
      <c r="P174" s="43"/>
      <c r="Q174" s="43"/>
      <c r="R174" s="43"/>
      <c r="S174" s="43"/>
    </row>
    <row r="175" spans="2:19" x14ac:dyDescent="0.2">
      <c r="B175" s="37" t="str">
        <f>'General System Parameters'!B29</f>
        <v>ADC Bandwidth (MHz)</v>
      </c>
      <c r="C175" s="35">
        <f>'General System Parameters'!C29</f>
        <v>40</v>
      </c>
      <c r="F175" s="43"/>
      <c r="G175" s="43"/>
      <c r="H175" s="43"/>
      <c r="I175" s="43"/>
      <c r="J175" s="43"/>
      <c r="K175" s="43"/>
      <c r="L175" s="43"/>
      <c r="M175" s="43"/>
      <c r="N175" s="43"/>
      <c r="O175" s="43"/>
      <c r="P175" s="43"/>
      <c r="Q175" s="43"/>
      <c r="R175" s="43"/>
      <c r="S175" s="43"/>
    </row>
    <row r="176" spans="2:19" x14ac:dyDescent="0.2">
      <c r="B176" s="32" t="str">
        <f>'General System Parameters'!B30</f>
        <v>ADC Noise Level (dBm)</v>
      </c>
      <c r="C176" s="33">
        <f>'General System Parameters'!C30</f>
        <v>-65</v>
      </c>
      <c r="F176" s="43"/>
      <c r="G176" s="43"/>
      <c r="H176" s="43"/>
      <c r="I176" s="43"/>
      <c r="J176" s="43"/>
      <c r="K176" s="43"/>
      <c r="L176" s="43"/>
      <c r="M176" s="43"/>
      <c r="N176" s="43"/>
      <c r="O176" s="43"/>
      <c r="P176" s="43"/>
      <c r="Q176" s="43"/>
      <c r="R176" s="43"/>
      <c r="S176" s="43"/>
    </row>
    <row r="177" spans="2:19" x14ac:dyDescent="0.2">
      <c r="B177" s="32" t="str">
        <f>'General System Parameters'!B31</f>
        <v>Tapering Signal Gain Loss (dB) - 1st Rx</v>
      </c>
      <c r="C177" s="33">
        <f>'General System Parameters'!C31</f>
        <v>3.51</v>
      </c>
      <c r="F177" s="43"/>
      <c r="G177" s="43"/>
      <c r="H177" s="43"/>
      <c r="I177" s="43"/>
      <c r="J177" s="43"/>
      <c r="K177" s="43"/>
      <c r="L177" s="43"/>
      <c r="M177" s="43"/>
      <c r="N177" s="43"/>
      <c r="O177" s="43"/>
      <c r="P177" s="43"/>
      <c r="Q177" s="43"/>
      <c r="R177" s="43"/>
      <c r="S177" s="43"/>
    </row>
    <row r="178" spans="2:19" x14ac:dyDescent="0.2">
      <c r="B178" s="32" t="str">
        <f>'General System Parameters'!B32</f>
        <v>Tapering Noise Gain Loss (dB) - 1st Rx</v>
      </c>
      <c r="C178" s="33">
        <f>'General System Parameters'!C32</f>
        <v>3.1337000000000002</v>
      </c>
      <c r="F178" s="43"/>
      <c r="G178" s="43"/>
      <c r="H178" s="43"/>
      <c r="I178" s="43"/>
      <c r="J178" s="43"/>
      <c r="K178" s="43"/>
      <c r="L178" s="43"/>
      <c r="M178" s="43"/>
      <c r="N178" s="43"/>
      <c r="O178" s="43"/>
      <c r="P178" s="43"/>
      <c r="Q178" s="43"/>
      <c r="R178" s="43"/>
      <c r="S178" s="43"/>
    </row>
    <row r="179" spans="2:19" x14ac:dyDescent="0.2">
      <c r="B179" s="32" t="str">
        <f>'General System Parameters'!B33</f>
        <v>Tapering Signal Gain Loss (dB) - Ref (Guard) Rx</v>
      </c>
      <c r="C179" s="33">
        <f>'General System Parameters'!C33</f>
        <v>0</v>
      </c>
      <c r="F179" s="43"/>
      <c r="G179" s="43"/>
      <c r="H179" s="43"/>
      <c r="I179" s="43"/>
      <c r="J179" s="43"/>
      <c r="K179" s="43"/>
      <c r="L179" s="43"/>
      <c r="M179" s="43"/>
      <c r="N179" s="43"/>
      <c r="O179" s="43"/>
      <c r="P179" s="43"/>
      <c r="Q179" s="43"/>
      <c r="R179" s="43"/>
      <c r="S179" s="43"/>
    </row>
    <row r="180" spans="2:19" x14ac:dyDescent="0.2">
      <c r="B180" s="32" t="str">
        <f>'General System Parameters'!B34</f>
        <v>Tapering Noise Gain Loss (dB) - Ref (Guard) Rx</v>
      </c>
      <c r="C180" s="33">
        <f>'General System Parameters'!C34</f>
        <v>0</v>
      </c>
      <c r="F180" s="43"/>
      <c r="G180" s="43"/>
      <c r="H180" s="43"/>
      <c r="I180" s="43"/>
      <c r="J180" s="43"/>
      <c r="K180" s="43"/>
      <c r="L180" s="43"/>
      <c r="M180" s="43"/>
      <c r="N180" s="43"/>
      <c r="O180" s="43"/>
      <c r="P180" s="43"/>
      <c r="Q180" s="43"/>
      <c r="R180" s="43"/>
      <c r="S180" s="43"/>
    </row>
    <row r="181" spans="2:19" x14ac:dyDescent="0.2">
      <c r="B181" s="37" t="str">
        <f>'General System Parameters'!B35</f>
        <v>Tapering Rx Loss (dB)</v>
      </c>
      <c r="C181" s="35">
        <f>'General System Parameters'!C35</f>
        <v>0.37629999999999963</v>
      </c>
      <c r="F181" s="43"/>
      <c r="G181" s="43"/>
      <c r="H181" s="43"/>
      <c r="I181" s="43"/>
      <c r="J181" s="43"/>
      <c r="K181" s="43"/>
      <c r="L181" s="43"/>
      <c r="M181" s="43"/>
      <c r="N181" s="43"/>
      <c r="O181" s="43"/>
      <c r="P181" s="43"/>
      <c r="Q181" s="43"/>
      <c r="R181" s="43"/>
      <c r="S181" s="43"/>
    </row>
    <row r="182" spans="2:19" x14ac:dyDescent="0.2">
      <c r="B182" s="30" t="str">
        <f>'General System Parameters'!B36</f>
        <v>Number of T/R modules</v>
      </c>
      <c r="C182" s="31">
        <f>'General System Parameters'!C36</f>
        <v>41</v>
      </c>
      <c r="F182" s="43"/>
      <c r="G182" s="43"/>
      <c r="H182" s="43"/>
      <c r="I182" s="43"/>
      <c r="J182" s="43"/>
      <c r="K182" s="43"/>
      <c r="L182" s="43"/>
      <c r="M182" s="43"/>
      <c r="N182" s="43"/>
      <c r="O182" s="43"/>
      <c r="P182" s="43"/>
      <c r="Q182" s="43"/>
      <c r="R182" s="43"/>
      <c r="S182" s="43"/>
    </row>
    <row r="183" spans="2:19" x14ac:dyDescent="0.2">
      <c r="B183" s="30" t="str">
        <f>'General System Parameters'!B37</f>
        <v>Power per T/R module</v>
      </c>
      <c r="C183" s="31">
        <f>'General System Parameters'!C37</f>
        <v>10</v>
      </c>
      <c r="F183" s="43"/>
      <c r="G183" s="43"/>
      <c r="H183" s="43"/>
      <c r="I183" s="43"/>
      <c r="J183" s="43"/>
      <c r="K183" s="43"/>
      <c r="L183" s="43"/>
      <c r="M183" s="43"/>
      <c r="N183" s="43"/>
      <c r="O183" s="43"/>
      <c r="P183" s="43"/>
      <c r="Q183" s="43"/>
      <c r="R183" s="43"/>
      <c r="S183" s="43"/>
    </row>
    <row r="184" spans="2:19" x14ac:dyDescent="0.2">
      <c r="B184" s="30" t="str">
        <f>'General System Parameters'!B38</f>
        <v>Gain per T/R module [dB]</v>
      </c>
      <c r="C184" s="31">
        <f>'General System Parameters'!C38</f>
        <v>5</v>
      </c>
      <c r="F184" s="43"/>
      <c r="G184" s="43"/>
      <c r="H184" s="43"/>
      <c r="I184" s="43"/>
      <c r="J184" s="43"/>
      <c r="K184" s="43"/>
      <c r="L184" s="43"/>
      <c r="M184" s="43"/>
      <c r="N184" s="43"/>
      <c r="O184" s="43"/>
      <c r="P184" s="43"/>
      <c r="Q184" s="43"/>
      <c r="R184" s="43"/>
      <c r="S184" s="43"/>
    </row>
    <row r="185" spans="2:19" x14ac:dyDescent="0.2">
      <c r="B185" s="37" t="str">
        <f>'General System Parameters'!B39</f>
        <v>Available Power (dBm)</v>
      </c>
      <c r="C185" s="35">
        <f>'General System Parameters'!C39</f>
        <v>56.127838567197358</v>
      </c>
      <c r="F185" s="43"/>
      <c r="G185" s="43"/>
      <c r="H185" s="43"/>
      <c r="I185" s="43"/>
      <c r="J185" s="43"/>
      <c r="K185" s="43"/>
      <c r="L185" s="43"/>
      <c r="M185" s="43"/>
      <c r="N185" s="43"/>
      <c r="O185" s="43"/>
      <c r="P185" s="43"/>
      <c r="Q185" s="43"/>
      <c r="R185" s="43"/>
      <c r="S185" s="43"/>
    </row>
    <row r="186" spans="2:19" x14ac:dyDescent="0.2">
      <c r="B186" s="37" t="str">
        <f>'General System Parameters'!B40</f>
        <v>Gt,Gr</v>
      </c>
      <c r="C186" s="35">
        <f>'General System Parameters'!C40</f>
        <v>21.127838567197355</v>
      </c>
      <c r="F186" s="43"/>
      <c r="G186" s="43"/>
      <c r="H186" s="43"/>
      <c r="I186" s="43"/>
      <c r="J186" s="43"/>
      <c r="K186" s="43"/>
      <c r="L186" s="43"/>
      <c r="M186" s="43"/>
      <c r="N186" s="43"/>
      <c r="O186" s="43"/>
      <c r="P186" s="43"/>
      <c r="Q186" s="43"/>
      <c r="R186" s="43"/>
      <c r="S186" s="43"/>
    </row>
    <row r="187" spans="2:19" x14ac:dyDescent="0.2">
      <c r="B187" s="37" t="str">
        <f>'General System Parameters'!B41</f>
        <v>Gr - 1st Rx</v>
      </c>
      <c r="C187" s="35">
        <f>'General System Parameters'!C41</f>
        <v>15</v>
      </c>
      <c r="F187" s="43"/>
      <c r="G187" s="43"/>
      <c r="H187" s="43"/>
      <c r="I187" s="43"/>
      <c r="J187" s="43"/>
      <c r="K187" s="43"/>
      <c r="L187" s="43"/>
      <c r="M187" s="43"/>
      <c r="N187" s="43"/>
      <c r="O187" s="43"/>
      <c r="P187" s="43"/>
      <c r="Q187" s="43"/>
      <c r="R187" s="43"/>
      <c r="S187" s="43"/>
    </row>
    <row r="188" spans="2:19" x14ac:dyDescent="0.2">
      <c r="B188" s="37" t="str">
        <f>'General System Parameters'!B42</f>
        <v>Gr - Ref (Guard) Rx</v>
      </c>
      <c r="C188" s="35">
        <f>'General System Parameters'!C42</f>
        <v>5</v>
      </c>
      <c r="F188" s="43"/>
      <c r="G188" s="43"/>
      <c r="H188" s="43"/>
      <c r="I188" s="43"/>
      <c r="J188" s="43"/>
      <c r="K188" s="43"/>
      <c r="L188" s="43"/>
      <c r="M188" s="43"/>
      <c r="N188" s="43"/>
      <c r="O188" s="43"/>
      <c r="P188" s="43"/>
      <c r="Q188" s="43"/>
      <c r="R188" s="43"/>
      <c r="S188" s="43"/>
    </row>
    <row r="189" spans="2:19" x14ac:dyDescent="0.2">
      <c r="B189" s="37" t="str">
        <f>'General System Parameters'!B43</f>
        <v>λ2 (dB/m2)</v>
      </c>
      <c r="C189" s="35">
        <f>'General System Parameters'!C43</f>
        <v>-21.344946828446961</v>
      </c>
      <c r="F189" s="43"/>
      <c r="G189" s="43"/>
      <c r="H189" s="43"/>
      <c r="I189" s="43"/>
      <c r="J189" s="43"/>
      <c r="K189" s="43"/>
      <c r="L189" s="43"/>
      <c r="M189" s="43"/>
      <c r="N189" s="43"/>
      <c r="O189" s="43"/>
      <c r="P189" s="43"/>
      <c r="Q189" s="43"/>
      <c r="R189" s="43"/>
      <c r="S189" s="43"/>
    </row>
    <row r="190" spans="2:19" x14ac:dyDescent="0.2">
      <c r="B190" s="34" t="str">
        <f>'General System Parameters'!B44</f>
        <v>(4p)^3 (dB)</v>
      </c>
      <c r="C190" s="35">
        <f>'General System Parameters'!C44</f>
        <v>32.976295920662885</v>
      </c>
      <c r="F190" s="43"/>
      <c r="G190" s="43"/>
      <c r="H190" s="43"/>
      <c r="I190" s="43"/>
      <c r="J190" s="43"/>
      <c r="K190" s="43"/>
      <c r="L190" s="43"/>
      <c r="M190" s="43"/>
      <c r="N190" s="43"/>
      <c r="O190" s="43"/>
      <c r="P190" s="43"/>
      <c r="Q190" s="43"/>
      <c r="R190" s="43"/>
      <c r="S190" s="43"/>
    </row>
    <row r="191" spans="2:19" x14ac:dyDescent="0.2">
      <c r="B191" s="34" t="str">
        <f>'General System Parameters'!B45</f>
        <v>Miscellaneous Losses (dB)</v>
      </c>
      <c r="C191" s="35">
        <f>'General System Parameters'!C45</f>
        <v>0</v>
      </c>
      <c r="F191" s="43"/>
      <c r="G191" s="43"/>
      <c r="H191" s="43"/>
      <c r="I191" s="43"/>
      <c r="J191" s="43"/>
      <c r="K191" s="43"/>
      <c r="L191" s="43"/>
      <c r="M191" s="43"/>
      <c r="N191" s="43"/>
      <c r="O191" s="43"/>
      <c r="P191" s="43"/>
      <c r="Q191" s="43"/>
      <c r="R191" s="43"/>
      <c r="S191" s="43"/>
    </row>
    <row r="192" spans="2:19" x14ac:dyDescent="0.2">
      <c r="B192" s="36" t="str">
        <f>'General System Parameters'!B46</f>
        <v>FFT Window: BH</v>
      </c>
      <c r="C192" s="31" t="str">
        <f>'General System Parameters'!C46</f>
        <v>BH</v>
      </c>
      <c r="F192" s="43"/>
      <c r="G192" s="43"/>
      <c r="H192" s="43"/>
      <c r="I192" s="43"/>
      <c r="J192" s="43"/>
      <c r="K192" s="43"/>
      <c r="L192" s="43"/>
      <c r="M192" s="43"/>
      <c r="N192" s="43"/>
      <c r="O192" s="43"/>
      <c r="P192" s="43"/>
      <c r="Q192" s="43"/>
      <c r="R192" s="43"/>
      <c r="S192" s="43"/>
    </row>
    <row r="193" spans="2:19" x14ac:dyDescent="0.2">
      <c r="B193" s="34" t="str">
        <f>'General System Parameters'!B47</f>
        <v>Signal Gain Loss (dB)</v>
      </c>
      <c r="C193" s="35">
        <f>'General System Parameters'!C47</f>
        <v>8.9499999999999993</v>
      </c>
      <c r="F193" s="43"/>
      <c r="G193" s="43"/>
      <c r="H193" s="43"/>
      <c r="I193" s="43"/>
      <c r="J193" s="43"/>
      <c r="K193" s="43"/>
      <c r="L193" s="43"/>
      <c r="M193" s="43"/>
      <c r="N193" s="43"/>
      <c r="O193" s="43"/>
      <c r="P193" s="43"/>
      <c r="Q193" s="43"/>
      <c r="R193" s="43"/>
      <c r="S193" s="43"/>
    </row>
    <row r="194" spans="2:19" x14ac:dyDescent="0.2">
      <c r="B194" s="34" t="str">
        <f>'General System Parameters'!B48</f>
        <v>Noise Gain Loss (dB)</v>
      </c>
      <c r="C194" s="35">
        <f>'General System Parameters'!C48</f>
        <v>5.9</v>
      </c>
      <c r="F194" s="43"/>
      <c r="G194" s="43"/>
      <c r="H194" s="43"/>
      <c r="I194" s="43"/>
      <c r="J194" s="43"/>
      <c r="K194" s="43"/>
      <c r="L194" s="43"/>
      <c r="M194" s="43"/>
      <c r="N194" s="43"/>
      <c r="O194" s="43"/>
      <c r="P194" s="43"/>
      <c r="Q194" s="43"/>
      <c r="R194" s="43"/>
      <c r="S194" s="43"/>
    </row>
    <row r="195" spans="2:19" x14ac:dyDescent="0.2">
      <c r="B195" s="34" t="str">
        <f>'General System Parameters'!B49</f>
        <v>Normalized ENBW (dB)</v>
      </c>
      <c r="C195" s="35">
        <f>'General System Parameters'!C49</f>
        <v>3.0499999999999989</v>
      </c>
      <c r="F195" s="43"/>
      <c r="G195" s="43"/>
      <c r="H195" s="43"/>
      <c r="I195" s="43"/>
      <c r="J195" s="43"/>
      <c r="K195" s="43"/>
      <c r="L195" s="43"/>
      <c r="M195" s="43"/>
      <c r="N195" s="43"/>
      <c r="O195" s="43"/>
      <c r="P195" s="43"/>
      <c r="Q195" s="43"/>
      <c r="R195" s="43"/>
      <c r="S195" s="43"/>
    </row>
    <row r="196" spans="2:19" x14ac:dyDescent="0.2">
      <c r="B196" s="34" t="str">
        <f>'General System Parameters'!B50</f>
        <v>Window 3dB BW (bins)</v>
      </c>
      <c r="C196" s="35">
        <f>'General System Parameters'!C50</f>
        <v>1.9</v>
      </c>
      <c r="F196" s="43"/>
      <c r="G196" s="43"/>
      <c r="H196" s="43"/>
      <c r="I196" s="43"/>
      <c r="J196" s="43"/>
      <c r="K196" s="43"/>
      <c r="L196" s="43"/>
      <c r="M196" s="43"/>
      <c r="N196" s="43"/>
      <c r="O196" s="43"/>
      <c r="P196" s="43"/>
      <c r="Q196" s="43"/>
      <c r="R196" s="43"/>
      <c r="S196" s="43"/>
    </row>
    <row r="197" spans="2:19" x14ac:dyDescent="0.2">
      <c r="B197" s="34" t="str">
        <f>'General System Parameters'!B51</f>
        <v>Window 6dB BW (bins)</v>
      </c>
      <c r="C197" s="35">
        <f>'General System Parameters'!C51</f>
        <v>2.72</v>
      </c>
      <c r="F197" s="43"/>
      <c r="G197" s="43"/>
      <c r="H197" s="43"/>
      <c r="I197" s="43"/>
      <c r="J197" s="43"/>
      <c r="K197" s="43"/>
      <c r="L197" s="43"/>
      <c r="M197" s="43"/>
      <c r="N197" s="43"/>
      <c r="O197" s="43"/>
      <c r="P197" s="43"/>
      <c r="Q197" s="43"/>
      <c r="R197" s="43"/>
      <c r="S197" s="43"/>
    </row>
    <row r="198" spans="2:19" x14ac:dyDescent="0.2">
      <c r="B198" s="34" t="str">
        <f>'General System Parameters'!B52</f>
        <v>Scallop Loss (dB)</v>
      </c>
      <c r="C198" s="35">
        <f>'General System Parameters'!C52</f>
        <v>0.41278500000000001</v>
      </c>
      <c r="F198" s="43"/>
      <c r="G198" s="43"/>
      <c r="H198" s="43"/>
      <c r="I198" s="43"/>
      <c r="J198" s="43"/>
      <c r="K198" s="43"/>
      <c r="L198" s="43"/>
      <c r="M198" s="43"/>
      <c r="N198" s="43"/>
      <c r="O198" s="43"/>
      <c r="P198" s="43"/>
      <c r="Q198" s="43"/>
      <c r="R198" s="43"/>
      <c r="S198" s="43"/>
    </row>
    <row r="199" spans="2:19" x14ac:dyDescent="0.2">
      <c r="B199" s="32" t="str">
        <f>'General System Parameters'!B53</f>
        <v>Rectangular 6dB BW (bins)</v>
      </c>
      <c r="C199" s="33">
        <f>'General System Parameters'!C53</f>
        <v>1.21</v>
      </c>
      <c r="F199" s="43"/>
      <c r="G199" s="43"/>
      <c r="H199" s="43"/>
      <c r="I199" s="43"/>
      <c r="J199" s="43"/>
      <c r="K199" s="43"/>
      <c r="L199" s="43"/>
      <c r="M199" s="43"/>
      <c r="N199" s="43"/>
      <c r="O199" s="43"/>
      <c r="P199" s="43"/>
      <c r="Q199" s="43"/>
      <c r="R199" s="43"/>
      <c r="S199" s="43"/>
    </row>
    <row r="200" spans="2:19" x14ac:dyDescent="0.2">
      <c r="B200" s="34" t="str">
        <f>'General System Parameters'!B54</f>
        <v>Window Peak Spreading (bins)</v>
      </c>
      <c r="C200" s="35">
        <f>'General System Parameters'!C54</f>
        <v>9</v>
      </c>
      <c r="F200" s="43"/>
      <c r="G200" s="43"/>
      <c r="H200" s="43"/>
      <c r="I200" s="43"/>
      <c r="J200" s="43"/>
      <c r="K200" s="43"/>
      <c r="L200" s="43"/>
      <c r="M200" s="43"/>
      <c r="N200" s="43"/>
      <c r="O200" s="43"/>
      <c r="P200" s="43"/>
      <c r="Q200" s="43"/>
      <c r="R200" s="43"/>
      <c r="S200" s="43"/>
    </row>
    <row r="201" spans="2:19" x14ac:dyDescent="0.2">
      <c r="B201" s="36" t="str">
        <f>'General System Parameters'!B55</f>
        <v>#samples for noise estimation</v>
      </c>
      <c r="C201" s="31">
        <f>'General System Parameters'!C55</f>
        <v>12</v>
      </c>
      <c r="F201" s="43"/>
      <c r="G201" s="43"/>
      <c r="H201" s="43"/>
      <c r="I201" s="43"/>
      <c r="J201" s="43"/>
      <c r="K201" s="43"/>
      <c r="L201" s="43"/>
      <c r="M201" s="43"/>
      <c r="N201" s="43"/>
      <c r="O201" s="43"/>
      <c r="P201" s="43"/>
      <c r="Q201" s="43"/>
      <c r="R201" s="43"/>
      <c r="S201" s="43"/>
    </row>
    <row r="202" spans="2:19" x14ac:dyDescent="0.2">
      <c r="B202" s="34" t="str">
        <f>'General System Parameters'!B56</f>
        <v>Straddling Loss (dB) - w/o OL</v>
      </c>
      <c r="C202" s="35">
        <f>'General System Parameters'!C56</f>
        <v>3</v>
      </c>
    </row>
    <row r="203" spans="2:19" x14ac:dyDescent="0.2">
      <c r="B203" s="34" t="str">
        <f>'General System Parameters'!B57</f>
        <v>Straddling Loss (dB) - with 50% OL</v>
      </c>
      <c r="C203" s="35">
        <f>'General System Parameters'!C57</f>
        <v>1.25</v>
      </c>
    </row>
    <row r="204" spans="2:19" x14ac:dyDescent="0.2">
      <c r="B204" s="30" t="str">
        <f>'General System Parameters'!B58</f>
        <v>Freq Desynchronization factor (ppb)</v>
      </c>
      <c r="C204" s="31">
        <f>'General System Parameters'!C58</f>
        <v>5</v>
      </c>
    </row>
    <row r="205" spans="2:19" x14ac:dyDescent="0.2">
      <c r="B205" s="34" t="str">
        <f>'General System Parameters'!B59</f>
        <v>Freq Desynchronization factor (Hz)</v>
      </c>
      <c r="C205" s="35">
        <f>'General System Parameters'!C59</f>
        <v>17.5</v>
      </c>
    </row>
    <row r="206" spans="2:19" x14ac:dyDescent="0.2">
      <c r="B206" s="34" t="str">
        <f>'General System Parameters'!B60</f>
        <v>Freq Desynchronization factor (m/s)</v>
      </c>
      <c r="C206" s="35">
        <f>'General System Parameters'!C60</f>
        <v>0.74948114500000007</v>
      </c>
    </row>
    <row r="207" spans="2:19" x14ac:dyDescent="0.2">
      <c r="B207" s="30" t="str">
        <f>'General System Parameters'!B61</f>
        <v>Time Desynchronization factor (ppm)</v>
      </c>
      <c r="C207" s="31">
        <f>'General System Parameters'!C61</f>
        <v>0.2</v>
      </c>
    </row>
    <row r="208" spans="2:19" x14ac:dyDescent="0.2">
      <c r="B208" s="30" t="str">
        <f>'General System Parameters'!B62</f>
        <v>Synchronization window per seq (μs)</v>
      </c>
      <c r="C208" s="31">
        <f>'General System Parameters'!C62</f>
        <v>0.1</v>
      </c>
    </row>
    <row r="209" spans="2:3" x14ac:dyDescent="0.2">
      <c r="B209" s="117" t="str">
        <f>'General System Parameters'!B63</f>
        <v>#RG in Optimized Mode (one side)</v>
      </c>
      <c r="C209" s="118">
        <f>'General System Parameters'!C63</f>
        <v>7</v>
      </c>
    </row>
    <row r="210" spans="2:3" x14ac:dyDescent="0.2">
      <c r="B210" s="30" t="str">
        <f>'General System Parameters'!B64</f>
        <v>Total #RG in Optimized Mode</v>
      </c>
      <c r="C210" s="31">
        <f>'General System Parameters'!C64</f>
        <v>15</v>
      </c>
    </row>
  </sheetData>
  <mergeCells count="4">
    <mergeCell ref="B150:D150"/>
    <mergeCell ref="C1:D1"/>
    <mergeCell ref="E1:T1"/>
    <mergeCell ref="B145:D145"/>
  </mergeCells>
  <conditionalFormatting sqref="C61:D61">
    <cfRule type="cellIs" dxfId="39" priority="5" operator="greaterThan">
      <formula>3</formula>
    </cfRule>
  </conditionalFormatting>
  <conditionalFormatting sqref="C49">
    <cfRule type="cellIs" dxfId="38" priority="3" operator="greaterThan">
      <formula>"2&amp;&amp;$C$57&gt;$C$58"</formula>
    </cfRule>
  </conditionalFormatting>
  <conditionalFormatting sqref="C59">
    <cfRule type="expression" dxfId="37" priority="2">
      <formula>AND(C$59 &gt; C$50, C$49&gt;1)</formula>
    </cfRule>
  </conditionalFormatting>
  <conditionalFormatting sqref="D59">
    <cfRule type="expression" dxfId="36" priority="1">
      <formula>AND(D$59 &gt; D$50, D$49&gt;1)</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Z210"/>
  <sheetViews>
    <sheetView topLeftCell="A22" workbookViewId="0">
      <selection activeCell="G48" sqref="G48"/>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20" t="str">
        <f>'Parameters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'Parameters List'!B4</f>
        <v>Antenna Number (1 or 2)</v>
      </c>
      <c r="C4" s="49"/>
      <c r="D4" s="49"/>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'Parameters List'!B5</f>
        <v>Steer Az (clockwise - positive)</v>
      </c>
      <c r="C5" s="49"/>
      <c r="D5" s="49"/>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'Parameters List'!B6</f>
        <v>Steer El (up - positive)</v>
      </c>
      <c r="C6" s="49"/>
      <c r="D6" s="49"/>
      <c r="E6" s="50"/>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'Parameters List'!B9</f>
        <v>Antenna Number (1 or 2)</v>
      </c>
      <c r="C9" s="49"/>
      <c r="D9" s="49"/>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'Parameters List'!B10</f>
        <v>Steer Az (clockwise - positive)</v>
      </c>
      <c r="C10" s="49"/>
      <c r="D10" s="49"/>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'Parameters List'!B11</f>
        <v>Steer El (up - positive)</v>
      </c>
      <c r="C11" s="49"/>
      <c r="D11" s="49"/>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'Parameters List'!B13</f>
        <v>Processing Channel Number (1 or 2)</v>
      </c>
      <c r="C13" s="49"/>
      <c r="D13" s="49"/>
      <c r="E13" s="33">
        <v>1</v>
      </c>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'Parameters List'!B14</f>
        <v>Beam type (relative to processing channel)</v>
      </c>
      <c r="C14" s="49"/>
      <c r="D14" s="49"/>
      <c r="E14" s="33">
        <v>1</v>
      </c>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'Parameters List'!B15</f>
        <v>Stagger number (1 or 2)</v>
      </c>
      <c r="C15" s="58"/>
      <c r="D15" s="58"/>
      <c r="E15" s="33">
        <v>1</v>
      </c>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'Parameters List'!B16</f>
        <v>Receiving Patch Group (1 or 2)</v>
      </c>
      <c r="C16" s="58"/>
      <c r="D16" s="58"/>
      <c r="E16" s="33">
        <v>1</v>
      </c>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'Parameters List'!B17</f>
        <v>Tracking (0 or 1)</v>
      </c>
      <c r="C17" s="58"/>
      <c r="D17" s="58"/>
      <c r="E17" s="33">
        <v>1</v>
      </c>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'Parameters List'!B18</f>
        <v>Stagger PRI Sequence (Chip Units)</v>
      </c>
      <c r="C18" s="58"/>
      <c r="D18" s="58"/>
      <c r="E18" s="123">
        <f t="shared" ref="E18:AJ18" si="0">IF(E$13=1, (E$14-1)*$C$31,IF(E$13=2,((E$14-1)*$D$31),""))</f>
        <v>0</v>
      </c>
      <c r="F18" s="123" t="str">
        <f t="shared" si="0"/>
        <v/>
      </c>
      <c r="G18" s="123" t="str">
        <f t="shared" si="0"/>
        <v/>
      </c>
      <c r="H18" s="123" t="str">
        <f t="shared" si="0"/>
        <v/>
      </c>
      <c r="I18" s="123" t="str">
        <f t="shared" si="0"/>
        <v/>
      </c>
      <c r="J18" s="123" t="str">
        <f t="shared" si="0"/>
        <v/>
      </c>
      <c r="K18" s="123" t="str">
        <f t="shared" si="0"/>
        <v/>
      </c>
      <c r="L18" s="123" t="str">
        <f t="shared" si="0"/>
        <v/>
      </c>
      <c r="M18" s="123" t="str">
        <f t="shared" si="0"/>
        <v/>
      </c>
      <c r="N18" s="123" t="str">
        <f t="shared" si="0"/>
        <v/>
      </c>
      <c r="O18" s="123" t="str">
        <f t="shared" si="0"/>
        <v/>
      </c>
      <c r="P18" s="123" t="str">
        <f t="shared" si="0"/>
        <v/>
      </c>
      <c r="Q18" s="123" t="str">
        <f t="shared" si="0"/>
        <v/>
      </c>
      <c r="R18" s="123" t="str">
        <f t="shared" si="0"/>
        <v/>
      </c>
      <c r="S18" s="123" t="str">
        <f t="shared" si="0"/>
        <v/>
      </c>
      <c r="T18" s="123" t="str">
        <f t="shared" si="0"/>
        <v/>
      </c>
      <c r="U18" s="123" t="str">
        <f t="shared" si="0"/>
        <v/>
      </c>
      <c r="V18" s="123" t="str">
        <f t="shared" si="0"/>
        <v/>
      </c>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CONCATENATE('XML File Parameters'!D2," XMLver",'XML File Parameters'!D3,".",'XML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'Parameters List'!B21</f>
        <v>Apply RG Optimization</v>
      </c>
      <c r="C21" s="64"/>
      <c r="D21" s="64"/>
      <c r="F21" s="43"/>
      <c r="G21" s="43"/>
      <c r="H21" s="43"/>
      <c r="I21" s="43"/>
      <c r="J21" s="43"/>
      <c r="K21" s="43"/>
      <c r="L21" s="43"/>
      <c r="M21" s="43"/>
      <c r="N21" s="43"/>
      <c r="O21" s="43"/>
      <c r="P21" s="43"/>
      <c r="Q21" s="43"/>
      <c r="R21" s="43"/>
      <c r="S21" s="43"/>
    </row>
    <row r="22" spans="1:78" x14ac:dyDescent="0.2">
      <c r="A22" s="91" t="s">
        <v>78</v>
      </c>
      <c r="B22" s="104" t="str">
        <f>'Parameters List'!B22</f>
        <v>Sequential Repetition</v>
      </c>
      <c r="C22" s="64">
        <v>1</v>
      </c>
      <c r="D22" s="64"/>
      <c r="F22" s="43"/>
      <c r="G22" s="43"/>
      <c r="H22" s="43"/>
      <c r="I22" s="43"/>
      <c r="J22" s="43"/>
      <c r="K22" s="43"/>
      <c r="L22" s="43"/>
      <c r="M22" s="43"/>
      <c r="N22" s="43"/>
      <c r="O22" s="43"/>
      <c r="P22" s="43"/>
      <c r="Q22" s="43"/>
      <c r="R22" s="43"/>
      <c r="S22" s="43"/>
    </row>
    <row r="23" spans="1:78" x14ac:dyDescent="0.2">
      <c r="A23" s="91" t="s">
        <v>78</v>
      </c>
      <c r="B23" s="104" t="str">
        <f>'Parameters List'!B23</f>
        <v>Max Dets to process</v>
      </c>
      <c r="C23" s="64">
        <v>256</v>
      </c>
      <c r="D23" s="64">
        <v>256</v>
      </c>
      <c r="E23" s="65"/>
      <c r="F23" s="43"/>
      <c r="G23" s="43"/>
      <c r="H23" s="43"/>
      <c r="I23" s="43"/>
      <c r="J23" s="43"/>
      <c r="K23" s="43"/>
      <c r="L23" s="43"/>
      <c r="M23" s="43"/>
      <c r="N23" s="43"/>
      <c r="O23" s="43"/>
      <c r="P23" s="43"/>
      <c r="Q23" s="43"/>
      <c r="R23" s="43"/>
      <c r="S23" s="43"/>
    </row>
    <row r="24" spans="1:78" x14ac:dyDescent="0.2">
      <c r="A24" s="91"/>
      <c r="B24" s="95" t="str">
        <f>'Parameters List'!B24</f>
        <v>Number of Steers</v>
      </c>
      <c r="C24" s="33">
        <f>COUNTIF(E$4:BP$4,"&gt;0")</f>
        <v>0</v>
      </c>
      <c r="D24" s="33">
        <f>COUNTIF(E$9:BP$9,"&gt;0")</f>
        <v>0</v>
      </c>
      <c r="E24" s="65"/>
      <c r="F24" s="43"/>
      <c r="G24" s="43"/>
      <c r="H24" s="43"/>
      <c r="I24" s="43"/>
      <c r="J24" s="43"/>
      <c r="K24" s="43"/>
      <c r="L24" s="43"/>
      <c r="M24" s="43"/>
      <c r="N24" s="43"/>
      <c r="O24" s="43"/>
      <c r="P24" s="43"/>
      <c r="Q24" s="43"/>
      <c r="R24" s="43"/>
      <c r="S24" s="43"/>
    </row>
    <row r="25" spans="1:78" x14ac:dyDescent="0.2">
      <c r="A25" s="91"/>
      <c r="B25" s="95" t="str">
        <f>'Parameters List'!B25</f>
        <v>Number of Beam Types</v>
      </c>
      <c r="C25" s="33">
        <f>COUNTIFS($E$13:$AJ$13,"=1",$E$15:$AJ$15,"=1")</f>
        <v>1</v>
      </c>
      <c r="D25" s="33">
        <f>COUNTIFS($E$13:$AJ$13,"=2",$E$15:$AJ$15,"=1")</f>
        <v>0</v>
      </c>
      <c r="E25" s="65"/>
      <c r="F25" s="43"/>
      <c r="G25" s="43"/>
      <c r="H25" s="43"/>
      <c r="I25" s="43"/>
      <c r="J25" s="43"/>
      <c r="K25" s="43"/>
      <c r="L25" s="43"/>
      <c r="M25" s="43"/>
      <c r="N25" s="43"/>
      <c r="O25" s="43"/>
      <c r="P25" s="43"/>
      <c r="Q25" s="43"/>
      <c r="R25" s="43"/>
      <c r="S25" s="43"/>
    </row>
    <row r="26" spans="1:78" x14ac:dyDescent="0.2">
      <c r="A26" s="91"/>
      <c r="B26" s="95" t="str">
        <f>'Parameters List'!B26</f>
        <v>Number of Beams</v>
      </c>
      <c r="C26" s="33">
        <f>COUNTIF($E$13:$AJ$13,"=1")</f>
        <v>1</v>
      </c>
      <c r="D26" s="33">
        <f>COUNTIF($E$13:$AJ$13,"=2")</f>
        <v>0</v>
      </c>
      <c r="E26" s="65"/>
      <c r="F26" s="43"/>
      <c r="G26" s="43"/>
      <c r="H26" s="43"/>
      <c r="I26" s="43"/>
      <c r="J26" s="43"/>
      <c r="K26" s="43"/>
      <c r="L26" s="43"/>
      <c r="M26" s="43"/>
      <c r="N26" s="43"/>
      <c r="O26" s="43"/>
      <c r="P26" s="43"/>
      <c r="Q26" s="43"/>
      <c r="R26" s="43"/>
      <c r="S26" s="43"/>
    </row>
    <row r="27" spans="1:78" x14ac:dyDescent="0.2">
      <c r="A27" s="91"/>
      <c r="B27" s="95" t="str">
        <f>'Parameters List'!B27</f>
        <v>Number of Beams at Antenna1</v>
      </c>
      <c r="C27" s="33">
        <f>IF(COUNTIF($E$4:$BP$4,"=1")&gt;=C$25,C$26,COUNTIF($E$4:$BP$4,"=1")*C$26/C$25)</f>
        <v>0</v>
      </c>
      <c r="D27" s="33">
        <f>IF(COUNTIF($E$9:$BP$9,"=1")&gt;=D$25,D$26,COUNTIF($E$9:$BP$9,"=1")*D$26/D$25)</f>
        <v>0</v>
      </c>
      <c r="E27" s="65"/>
      <c r="F27" s="43"/>
      <c r="G27" s="43"/>
      <c r="H27" s="43"/>
      <c r="I27" s="43"/>
      <c r="J27" s="43"/>
      <c r="K27" s="43"/>
      <c r="L27" s="43"/>
      <c r="M27" s="43"/>
      <c r="N27" s="43"/>
      <c r="O27" s="43"/>
      <c r="P27" s="43"/>
      <c r="Q27" s="43"/>
      <c r="R27" s="43"/>
      <c r="S27" s="43"/>
    </row>
    <row r="28" spans="1:78" x14ac:dyDescent="0.2">
      <c r="A28" s="91"/>
      <c r="B28" s="95" t="str">
        <f>'Parameters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'Parameters List'!B29</f>
        <v>Desired CPI (ms)</v>
      </c>
      <c r="C29" s="64">
        <v>71</v>
      </c>
      <c r="D29" s="64">
        <v>5</v>
      </c>
      <c r="G29" s="43"/>
      <c r="H29" s="43"/>
      <c r="I29" s="43"/>
      <c r="J29" s="43"/>
      <c r="K29" s="43"/>
      <c r="L29" s="43"/>
      <c r="M29" s="43"/>
      <c r="N29" s="43"/>
      <c r="O29" s="43"/>
      <c r="P29" s="43"/>
      <c r="Q29" s="43"/>
      <c r="R29" s="43"/>
      <c r="S29" s="43"/>
    </row>
    <row r="30" spans="1:78" x14ac:dyDescent="0.2">
      <c r="A30" s="91" t="s">
        <v>78</v>
      </c>
      <c r="B30" s="95" t="str">
        <f>'Parameters List'!B30</f>
        <v>Actual CPI (ms)</v>
      </c>
      <c r="C30" s="33">
        <f>(C$49*$C$104*C$51)/1000</f>
        <v>70.4512</v>
      </c>
      <c r="D30" s="33">
        <f>(D$49*$C$104*D$51)/1000</f>
        <v>4.9535999999999998</v>
      </c>
      <c r="F30" s="43"/>
      <c r="G30" s="43"/>
      <c r="H30" s="43"/>
      <c r="I30" s="43"/>
      <c r="J30" s="43"/>
      <c r="K30" s="43"/>
      <c r="L30" s="43"/>
      <c r="M30" s="43"/>
      <c r="N30" s="43"/>
      <c r="O30" s="43"/>
      <c r="P30" s="43"/>
      <c r="Q30" s="43"/>
      <c r="R30" s="43"/>
      <c r="S30" s="43"/>
    </row>
    <row r="31" spans="1:78" x14ac:dyDescent="0.2">
      <c r="A31" s="91" t="s">
        <v>78</v>
      </c>
      <c r="B31" s="94" t="str">
        <f>'Parameters List'!B31</f>
        <v>Multi Stagger - PRI Ext (in Chip Units)</v>
      </c>
      <c r="C31" s="64">
        <v>0</v>
      </c>
      <c r="D31" s="64">
        <v>0</v>
      </c>
      <c r="E31" s="65"/>
      <c r="F31" s="119"/>
      <c r="G31" s="43"/>
      <c r="H31" s="43"/>
      <c r="I31" s="43"/>
      <c r="J31" s="43"/>
      <c r="K31" s="43"/>
      <c r="L31" s="43"/>
      <c r="M31" s="43"/>
      <c r="N31" s="43"/>
      <c r="O31" s="43"/>
      <c r="P31" s="43"/>
      <c r="Q31" s="43"/>
      <c r="R31" s="43"/>
      <c r="S31" s="43"/>
    </row>
    <row r="32" spans="1:78" x14ac:dyDescent="0.2">
      <c r="A32" s="91" t="s">
        <v>78</v>
      </c>
      <c r="B32" s="94" t="str">
        <f>'Parameters List'!B32</f>
        <v>Stagger1 PRI (µs)</v>
      </c>
      <c r="C32" s="64">
        <v>8.5</v>
      </c>
      <c r="D32" s="64">
        <v>14</v>
      </c>
      <c r="F32" s="43"/>
      <c r="G32" s="43"/>
      <c r="H32" s="43"/>
      <c r="I32" s="43"/>
      <c r="J32" s="43"/>
      <c r="K32" s="43"/>
      <c r="L32" s="43"/>
      <c r="M32" s="43"/>
      <c r="N32" s="43"/>
      <c r="O32" s="43"/>
      <c r="P32" s="43"/>
      <c r="Q32" s="43"/>
      <c r="R32" s="43"/>
      <c r="S32" s="43"/>
    </row>
    <row r="33" spans="1:19" x14ac:dyDescent="0.2">
      <c r="A33" s="91" t="s">
        <v>78</v>
      </c>
      <c r="B33" s="94" t="str">
        <f>'Parameters List'!B33</f>
        <v>Stagger2 PRI (µs)</v>
      </c>
      <c r="C33" s="64">
        <v>0</v>
      </c>
      <c r="D33" s="64">
        <v>0</v>
      </c>
      <c r="F33" s="43"/>
      <c r="G33" s="43"/>
      <c r="H33" s="43"/>
      <c r="I33" s="43"/>
      <c r="J33" s="43"/>
      <c r="K33" s="43"/>
      <c r="L33" s="43"/>
      <c r="M33" s="43"/>
      <c r="N33" s="43"/>
      <c r="O33" s="43"/>
      <c r="P33" s="43"/>
      <c r="Q33" s="43"/>
      <c r="R33" s="43"/>
      <c r="S33" s="43"/>
    </row>
    <row r="34" spans="1:19" x14ac:dyDescent="0.2">
      <c r="A34" s="91" t="s">
        <v>81</v>
      </c>
      <c r="B34" s="95" t="str">
        <f>'Parameters List'!B34</f>
        <v>Number of Staggers (1 or 2)</v>
      </c>
      <c r="C34" s="67">
        <f>1*(C$32&lt;&gt;0)+1*(C$33&lt;&gt;0)</f>
        <v>1</v>
      </c>
      <c r="D34" s="67">
        <f>1*(D$32&lt;&gt;0)+1*(D$33&lt;&gt;0)</f>
        <v>1</v>
      </c>
      <c r="F34" s="43"/>
      <c r="G34" s="43"/>
      <c r="H34" s="43"/>
      <c r="I34" s="43"/>
      <c r="J34" s="43"/>
      <c r="K34" s="43"/>
      <c r="L34" s="43"/>
      <c r="M34" s="43"/>
      <c r="N34" s="43"/>
      <c r="O34" s="43"/>
      <c r="P34" s="43"/>
      <c r="Q34" s="43"/>
      <c r="R34" s="43"/>
      <c r="S34" s="43"/>
    </row>
    <row r="35" spans="1:19" x14ac:dyDescent="0.2">
      <c r="A35" s="91"/>
      <c r="B35" s="94" t="str">
        <f>'Parameters List'!B35</f>
        <v>Stagger Loss (dB)</v>
      </c>
      <c r="C35" s="64">
        <v>0</v>
      </c>
      <c r="D35" s="64">
        <v>3.01</v>
      </c>
      <c r="F35" s="43"/>
      <c r="G35" s="43"/>
      <c r="H35" s="43"/>
      <c r="I35" s="43"/>
      <c r="J35" s="43"/>
      <c r="K35" s="43"/>
      <c r="L35" s="43"/>
      <c r="M35" s="43"/>
      <c r="N35" s="43"/>
      <c r="O35" s="43"/>
      <c r="P35" s="43"/>
      <c r="Q35" s="43"/>
      <c r="R35" s="43"/>
      <c r="S35" s="43"/>
    </row>
    <row r="36" spans="1:19" x14ac:dyDescent="0.2">
      <c r="A36" s="91" t="s">
        <v>78</v>
      </c>
      <c r="B36" s="95" t="str">
        <f>'Parameters List'!B36</f>
        <v>PW (µs)</v>
      </c>
      <c r="C36" s="33">
        <f>C$46*C$48*$C$174</f>
        <v>0.4</v>
      </c>
      <c r="D36" s="33">
        <f>D$46*D$48*$C$174</f>
        <v>3.9000000000000004</v>
      </c>
      <c r="F36" s="43"/>
      <c r="G36" s="43"/>
      <c r="H36" s="43"/>
      <c r="I36" s="43"/>
      <c r="J36" s="43"/>
      <c r="K36" s="43"/>
      <c r="L36" s="43"/>
      <c r="M36" s="43"/>
      <c r="N36" s="43"/>
      <c r="O36" s="43"/>
      <c r="P36" s="43"/>
      <c r="Q36" s="43"/>
      <c r="R36" s="43"/>
      <c r="S36" s="43"/>
    </row>
    <row r="37" spans="1:19" x14ac:dyDescent="0.2">
      <c r="A37" s="91" t="s">
        <v>78</v>
      </c>
      <c r="B37" s="95" t="str">
        <f>'Parameters List'!B37</f>
        <v>Actual Bandwidth (MHz)</v>
      </c>
      <c r="C37" s="33">
        <f>2*C$48/(C$36*(2*(C$48=2)+1*(C$48&lt;&gt;2)))</f>
        <v>5</v>
      </c>
      <c r="D37" s="33">
        <f>2*D$48/(D$36*(2*(D$48=2)+1*(D$48&lt;&gt;2)))</f>
        <v>6.6666666666666661</v>
      </c>
      <c r="F37" s="43"/>
      <c r="G37" s="43"/>
      <c r="H37" s="43"/>
      <c r="I37" s="43"/>
      <c r="J37" s="43"/>
      <c r="K37" s="43"/>
      <c r="L37" s="43"/>
      <c r="M37" s="43"/>
      <c r="N37" s="43"/>
      <c r="O37" s="43"/>
      <c r="P37" s="43"/>
      <c r="Q37" s="43"/>
      <c r="R37" s="43"/>
      <c r="S37" s="43"/>
    </row>
    <row r="38" spans="1:19" x14ac:dyDescent="0.2">
      <c r="A38" s="91" t="s">
        <v>81</v>
      </c>
      <c r="B38" s="95" t="str">
        <f>'Parameters List'!B38</f>
        <v>Range Resolution (m)</v>
      </c>
      <c r="C38" s="67">
        <f>$C$163*C$36 /C$48*(2*(C$48=2)+1*(C$48&lt;&gt;2))</f>
        <v>59.958491600000002</v>
      </c>
      <c r="D38" s="67">
        <f>$C$163*D$36 /D$48*(2*(D$48=2)+1*(D$48&lt;&gt;2))</f>
        <v>44.968868700000002</v>
      </c>
      <c r="F38" s="43"/>
      <c r="G38" s="43"/>
      <c r="H38" s="43"/>
      <c r="I38" s="43"/>
      <c r="J38" s="43"/>
      <c r="K38" s="43"/>
      <c r="L38" s="43"/>
      <c r="M38" s="43"/>
      <c r="N38" s="43"/>
      <c r="O38" s="43"/>
      <c r="P38" s="43"/>
      <c r="Q38" s="43"/>
      <c r="R38" s="43"/>
      <c r="S38" s="43"/>
    </row>
    <row r="39" spans="1:19" x14ac:dyDescent="0.2">
      <c r="A39" s="91" t="s">
        <v>81</v>
      </c>
      <c r="B39" s="95" t="str">
        <f>'Parameters List'!B39</f>
        <v>Range Gate Width (m)</v>
      </c>
      <c r="C39" s="67">
        <f>C$38*(1*(C$47=0)+0.5*(C$47&lt;&gt;0))</f>
        <v>29.979245800000001</v>
      </c>
      <c r="D39" s="67">
        <f>D$38*(1*(D$47=0)+0.5*(D$47&lt;&gt;0))</f>
        <v>22.484434350000001</v>
      </c>
      <c r="F39" s="43"/>
      <c r="G39" s="43"/>
      <c r="H39" s="43"/>
      <c r="I39" s="43"/>
      <c r="J39" s="43"/>
      <c r="K39" s="43"/>
      <c r="L39" s="43"/>
      <c r="M39" s="43"/>
      <c r="N39" s="43"/>
      <c r="O39" s="43"/>
      <c r="P39" s="43"/>
      <c r="Q39" s="43"/>
      <c r="R39" s="43"/>
      <c r="S39" s="43"/>
    </row>
    <row r="40" spans="1:19" x14ac:dyDescent="0.2">
      <c r="A40" s="91" t="s">
        <v>78</v>
      </c>
      <c r="B40" s="94" t="str">
        <f>'Parameters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'Parameters List'!B41</f>
        <v>Min Range Offset (m)</v>
      </c>
      <c r="C41" s="64">
        <v>30</v>
      </c>
      <c r="D41" s="64">
        <v>0</v>
      </c>
      <c r="F41" s="43"/>
      <c r="G41" s="43"/>
      <c r="H41" s="43"/>
      <c r="I41" s="43"/>
      <c r="J41" s="43"/>
      <c r="K41" s="43"/>
      <c r="L41" s="43"/>
      <c r="M41" s="43"/>
      <c r="N41" s="43"/>
      <c r="O41" s="43"/>
      <c r="P41" s="43"/>
      <c r="Q41" s="43"/>
      <c r="R41" s="43"/>
      <c r="S41" s="43"/>
    </row>
    <row r="42" spans="1:19" x14ac:dyDescent="0.2">
      <c r="A42" s="91" t="s">
        <v>78</v>
      </c>
      <c r="B42" s="94" t="str">
        <f>'Parameters List'!B42</f>
        <v>Max Range Offset (m)</v>
      </c>
      <c r="C42" s="64">
        <v>30</v>
      </c>
      <c r="D42" s="64">
        <v>0</v>
      </c>
      <c r="F42" s="43"/>
      <c r="G42" s="43"/>
      <c r="H42" s="43"/>
      <c r="I42" s="43"/>
      <c r="J42" s="43"/>
      <c r="K42" s="43"/>
      <c r="L42" s="43"/>
      <c r="M42" s="43"/>
      <c r="N42" s="43"/>
      <c r="O42" s="43"/>
      <c r="P42" s="43"/>
      <c r="Q42" s="43"/>
      <c r="R42" s="43"/>
      <c r="S42" s="43"/>
    </row>
    <row r="43" spans="1:19" x14ac:dyDescent="0.2">
      <c r="A43" s="91" t="s">
        <v>78</v>
      </c>
      <c r="B43" s="95" t="str">
        <f>'Parameters List'!B43</f>
        <v>Min Range (m)</v>
      </c>
      <c r="C43" s="67">
        <f>$C$163*C$36 + C$41</f>
        <v>89.958491600000002</v>
      </c>
      <c r="D43" s="67">
        <f>$C$163*D$36 + D$41</f>
        <v>584.59529310000005</v>
      </c>
      <c r="F43" s="43"/>
      <c r="G43" s="43"/>
      <c r="H43" s="43"/>
      <c r="I43" s="43"/>
      <c r="J43" s="43"/>
      <c r="K43" s="43"/>
      <c r="L43" s="43"/>
      <c r="M43" s="43"/>
      <c r="N43" s="43"/>
      <c r="O43" s="43"/>
      <c r="P43" s="43"/>
      <c r="Q43" s="43"/>
      <c r="R43" s="43"/>
      <c r="S43" s="43"/>
    </row>
    <row r="44" spans="1:19" x14ac:dyDescent="0.2">
      <c r="A44" s="91" t="s">
        <v>78</v>
      </c>
      <c r="B44" s="95" t="str">
        <f>'Parameters List'!B44</f>
        <v>Max Range (m)</v>
      </c>
      <c r="C44" s="67">
        <f>$C$163*((C$45-1)*C$46*$C$174/IF(C$48=2,IF(C$47=1,1,0.5),IF(C$47=1,2,1)))+C$43</f>
        <v>1139.2320946</v>
      </c>
      <c r="D44" s="67">
        <f>$C$163*((D$45-1)*D$46*$C$174/IF(D$48=2,IF(D$47=1,1,0.5),IF(D$47=1,2,1)))+D$43</f>
        <v>1483.9726671000001</v>
      </c>
      <c r="F44" s="43"/>
      <c r="G44" s="43"/>
      <c r="H44" s="43"/>
      <c r="I44" s="43"/>
      <c r="J44" s="43"/>
      <c r="K44" s="43"/>
      <c r="L44" s="43"/>
      <c r="M44" s="43"/>
      <c r="N44" s="43"/>
      <c r="O44" s="43"/>
      <c r="P44" s="43"/>
      <c r="Q44" s="43"/>
      <c r="R44" s="43"/>
      <c r="S44" s="43"/>
    </row>
    <row r="45" spans="1:19" x14ac:dyDescent="0.2">
      <c r="A45" s="91" t="s">
        <v>78</v>
      </c>
      <c r="B45" s="95" t="str">
        <f>'Parameters List'!B45</f>
        <v>NRG</v>
      </c>
      <c r="C45" s="33">
        <f>FLOOR((C$32-$C$161-2*C$36-(C$41+C$42)/$C$163)/(IF(C$48=2,IF(C$47=0,C$46*$C$174*2,C$46*$C$174),IF(C$47=0,C$46*$C$174,C$46*$C$174/2))),1)+1</f>
        <v>36</v>
      </c>
      <c r="D45" s="33">
        <f>FLOOR((D$32-$C$161-2*D$36-(D$41+D$42)/$C$163)/(IF(D$48=2,IF(D$47=0,D$46*$C$174*2,D$46*$C$174),IF(D$47=0,D$46*$C$174,D$46*$C$174/2))),1)+1</f>
        <v>41</v>
      </c>
      <c r="F45" s="43"/>
      <c r="G45" s="43"/>
      <c r="H45" s="43"/>
      <c r="I45" s="43"/>
      <c r="J45" s="43"/>
      <c r="K45" s="43"/>
      <c r="L45" s="43"/>
      <c r="M45" s="43"/>
      <c r="N45" s="43"/>
      <c r="O45" s="43"/>
      <c r="P45" s="43"/>
      <c r="Q45" s="43"/>
      <c r="R45" s="43"/>
      <c r="S45" s="43"/>
    </row>
    <row r="46" spans="1:19" x14ac:dyDescent="0.2">
      <c r="A46" s="91" t="s">
        <v>78</v>
      </c>
      <c r="B46" s="94" t="str">
        <f>'Parameters List'!B46</f>
        <v>TCHIP (even number)</v>
      </c>
      <c r="C46" s="64">
        <v>16</v>
      </c>
      <c r="D46" s="64">
        <v>24</v>
      </c>
      <c r="F46" s="43"/>
      <c r="G46" s="43"/>
      <c r="H46" s="43"/>
      <c r="I46" s="43"/>
      <c r="J46" s="43"/>
      <c r="K46" s="43"/>
      <c r="L46" s="43"/>
      <c r="M46" s="43"/>
      <c r="N46" s="43"/>
      <c r="O46" s="43"/>
      <c r="P46" s="43"/>
      <c r="Q46" s="43"/>
      <c r="R46" s="43"/>
      <c r="S46" s="43"/>
    </row>
    <row r="47" spans="1:19" x14ac:dyDescent="0.2">
      <c r="A47" s="91" t="s">
        <v>78</v>
      </c>
      <c r="B47" s="94" t="str">
        <f>'Parameters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'Parameters List'!B48</f>
        <v>NSERIES</v>
      </c>
      <c r="C48" s="64">
        <v>2</v>
      </c>
      <c r="D48" s="64">
        <v>13</v>
      </c>
      <c r="F48" s="43"/>
      <c r="G48" s="43"/>
      <c r="H48" s="43"/>
      <c r="I48" s="43"/>
      <c r="J48" s="43"/>
      <c r="K48" s="43"/>
      <c r="L48" s="43"/>
      <c r="M48" s="43"/>
      <c r="N48" s="43"/>
      <c r="O48" s="43"/>
      <c r="P48" s="43"/>
      <c r="Q48" s="43"/>
      <c r="R48" s="43"/>
      <c r="S48" s="43"/>
    </row>
    <row r="49" spans="1:19" x14ac:dyDescent="0.2">
      <c r="A49" s="91" t="s">
        <v>78</v>
      </c>
      <c r="B49" s="94" t="str">
        <f>'Parameters List'!B49</f>
        <v>POSTDEC</v>
      </c>
      <c r="C49" s="64">
        <v>16</v>
      </c>
      <c r="D49" s="64">
        <v>1</v>
      </c>
      <c r="F49" s="43"/>
      <c r="G49" s="43"/>
      <c r="H49" s="43"/>
      <c r="I49" s="43"/>
      <c r="J49" s="43"/>
      <c r="K49" s="43"/>
      <c r="L49" s="43"/>
      <c r="M49" s="43"/>
      <c r="N49" s="43"/>
      <c r="O49" s="43"/>
      <c r="P49" s="43"/>
      <c r="Q49" s="43"/>
      <c r="R49" s="43"/>
      <c r="S49" s="43"/>
    </row>
    <row r="50" spans="1:19" x14ac:dyDescent="0.2">
      <c r="A50" s="91"/>
      <c r="B50" s="80" t="str">
        <f>'Parameters List'!B50</f>
        <v>Max Abs Velocity Meas (m/s)</v>
      </c>
      <c r="C50" s="70">
        <f>1000000/($C$168*2*$C$104*C$49)</f>
        <v>155.62316133720932</v>
      </c>
      <c r="D50" s="70">
        <f>1000000/($C$168*2*$C$104*D$49)</f>
        <v>2489.9705813953492</v>
      </c>
      <c r="F50" s="43"/>
      <c r="G50" s="43"/>
      <c r="H50" s="43"/>
      <c r="I50" s="43"/>
      <c r="J50" s="43"/>
      <c r="K50" s="43"/>
      <c r="L50" s="43"/>
      <c r="M50" s="43"/>
      <c r="N50" s="43"/>
      <c r="O50" s="43"/>
      <c r="P50" s="43"/>
      <c r="Q50" s="43"/>
      <c r="R50" s="43"/>
      <c r="S50" s="43"/>
    </row>
    <row r="51" spans="1:19" x14ac:dyDescent="0.2">
      <c r="A51" s="91" t="s">
        <v>78</v>
      </c>
      <c r="B51" s="95" t="str">
        <f>'Parameters List'!B51</f>
        <v>Npoints (up to FFT length)</v>
      </c>
      <c r="C51" s="33">
        <f>FLOOR((1000*C$29/$C$104/C$49),16)</f>
        <v>512</v>
      </c>
      <c r="D51" s="33">
        <f>FLOOR((1000*D$29/$C$104/D$49),16)</f>
        <v>576</v>
      </c>
      <c r="F51" s="43"/>
      <c r="G51" s="43"/>
      <c r="H51" s="43"/>
      <c r="I51" s="43"/>
      <c r="J51" s="43"/>
      <c r="K51" s="43"/>
      <c r="L51" s="43"/>
      <c r="M51" s="43"/>
      <c r="N51" s="43"/>
      <c r="O51" s="43"/>
      <c r="P51" s="43"/>
      <c r="Q51" s="43"/>
      <c r="R51" s="43"/>
      <c r="S51" s="43"/>
    </row>
    <row r="52" spans="1:19" x14ac:dyDescent="0.2">
      <c r="A52" s="91" t="s">
        <v>78</v>
      </c>
      <c r="B52" s="95" t="str">
        <f>'Parameters List'!B52</f>
        <v>FFT length (limited to 8192)</v>
      </c>
      <c r="C52" s="33">
        <f>2^CEILING(LOG10(C51)/LOG10(2),1)</f>
        <v>512</v>
      </c>
      <c r="D52" s="33">
        <f>2^CEILING(LOG10(D51)/LOG10(2),1)</f>
        <v>1024</v>
      </c>
      <c r="F52" s="43"/>
      <c r="G52" s="43"/>
      <c r="H52" s="43"/>
      <c r="I52" s="43"/>
      <c r="J52" s="43"/>
      <c r="K52" s="43"/>
      <c r="L52" s="43"/>
      <c r="M52" s="43"/>
      <c r="N52" s="43"/>
      <c r="O52" s="43"/>
      <c r="P52" s="43"/>
      <c r="Q52" s="43"/>
      <c r="R52" s="43"/>
      <c r="S52" s="43"/>
    </row>
    <row r="53" spans="1:19" x14ac:dyDescent="0.2">
      <c r="A53" s="91"/>
      <c r="B53" s="95" t="str">
        <f>'Parameters List'!B53</f>
        <v>NCRG(per rcvr,limited to 512)</v>
      </c>
      <c r="C53" s="67">
        <f>C$45*C$26</f>
        <v>36</v>
      </c>
      <c r="D53" s="67">
        <f>D$45*D$26</f>
        <v>0</v>
      </c>
      <c r="F53" s="43"/>
      <c r="G53" s="43"/>
      <c r="H53" s="43"/>
      <c r="I53" s="43"/>
      <c r="J53" s="43"/>
      <c r="K53" s="43"/>
      <c r="L53" s="43"/>
      <c r="M53" s="43"/>
      <c r="N53" s="43"/>
      <c r="O53" s="43"/>
      <c r="P53" s="43"/>
      <c r="Q53" s="43"/>
      <c r="R53" s="43"/>
      <c r="S53" s="43"/>
    </row>
    <row r="54" spans="1:19" x14ac:dyDescent="0.2">
      <c r="A54" s="91"/>
      <c r="B54" s="95" t="str">
        <f>'Parameters List'!B54</f>
        <v>NCRG(all rcvrs)</v>
      </c>
      <c r="C54" s="67">
        <f>C$53*$C$155</f>
        <v>180</v>
      </c>
      <c r="D54" s="67">
        <f>D$53*$C$155</f>
        <v>0</v>
      </c>
      <c r="F54" s="43"/>
      <c r="G54" s="43"/>
      <c r="H54" s="43"/>
      <c r="I54" s="43"/>
      <c r="J54" s="43"/>
      <c r="K54" s="43"/>
      <c r="L54" s="43"/>
      <c r="M54" s="43"/>
      <c r="N54" s="43"/>
      <c r="O54" s="43"/>
      <c r="P54" s="43"/>
      <c r="Q54" s="43"/>
      <c r="R54" s="43"/>
      <c r="S54" s="43"/>
    </row>
    <row r="55" spans="1:19" x14ac:dyDescent="0.2">
      <c r="A55" s="91"/>
      <c r="B55" s="95" t="str">
        <f>'Parameters List'!B55</f>
        <v>TCHIP (m)</v>
      </c>
      <c r="C55" s="67">
        <f>C46*$C$163*$C$174</f>
        <v>29.979245800000001</v>
      </c>
      <c r="D55" s="67">
        <f>D46*$C$163*$C$174</f>
        <v>44.968868700000002</v>
      </c>
      <c r="F55" s="43"/>
      <c r="G55" s="43"/>
      <c r="H55" s="43"/>
      <c r="I55" s="43"/>
      <c r="J55" s="43"/>
      <c r="K55" s="43"/>
      <c r="L55" s="43"/>
      <c r="M55" s="43"/>
      <c r="N55" s="43"/>
      <c r="O55" s="43"/>
      <c r="P55" s="43"/>
      <c r="Q55" s="43"/>
      <c r="R55" s="43"/>
      <c r="S55" s="43"/>
    </row>
    <row r="56" spans="1:19" x14ac:dyDescent="0.2">
      <c r="A56" s="91"/>
      <c r="B56" s="94" t="str">
        <f>'Parameters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'Parameters List'!B57</f>
        <v>Clutter Margin (m/s)</v>
      </c>
      <c r="C57" s="67">
        <f>IF($C$206+C$56&gt;0,$C$206+C$56+C$67*C$65*1,0)</f>
        <v>3.7889960148673687</v>
      </c>
      <c r="D57" s="67">
        <f>IF($C$206+D$56&gt;0,$C$206+D$56+D$67*D$65*1,0)</f>
        <v>34.792047687514533</v>
      </c>
      <c r="F57" s="43"/>
      <c r="G57" s="43"/>
      <c r="H57" s="43"/>
      <c r="I57" s="43"/>
      <c r="J57" s="43"/>
      <c r="K57" s="43"/>
      <c r="L57" s="43"/>
      <c r="M57" s="43"/>
      <c r="N57" s="43"/>
      <c r="O57" s="43"/>
      <c r="P57" s="43"/>
      <c r="Q57" s="43"/>
      <c r="R57" s="43"/>
      <c r="S57" s="43"/>
    </row>
    <row r="58" spans="1:19" x14ac:dyDescent="0.2">
      <c r="A58" s="91" t="s">
        <v>78</v>
      </c>
      <c r="B58" s="94" t="str">
        <f>'Parameters List'!B58</f>
        <v>Min Velocity (m/s)</v>
      </c>
      <c r="C58" s="64">
        <v>0</v>
      </c>
      <c r="D58" s="64">
        <v>0</v>
      </c>
      <c r="F58" s="43"/>
      <c r="G58" s="43"/>
      <c r="H58" s="43"/>
      <c r="I58" s="43"/>
      <c r="J58" s="43"/>
      <c r="K58" s="43"/>
      <c r="L58" s="43"/>
      <c r="M58" s="43"/>
      <c r="N58" s="43"/>
      <c r="O58" s="43"/>
      <c r="P58" s="43"/>
      <c r="Q58" s="43"/>
      <c r="R58" s="43"/>
      <c r="S58" s="43"/>
    </row>
    <row r="59" spans="1:19" x14ac:dyDescent="0.2">
      <c r="A59" s="91" t="s">
        <v>81</v>
      </c>
      <c r="B59" s="94" t="str">
        <f>'Parameters List'!B59</f>
        <v>Max Velocity (m/s)</v>
      </c>
      <c r="C59" s="64">
        <v>150</v>
      </c>
      <c r="D59" s="64">
        <v>20</v>
      </c>
      <c r="F59" s="43"/>
      <c r="G59" s="43"/>
      <c r="H59" s="43"/>
      <c r="I59" s="43"/>
      <c r="J59" s="43"/>
      <c r="K59" s="43"/>
      <c r="L59" s="43"/>
      <c r="M59" s="43"/>
      <c r="N59" s="43"/>
      <c r="O59" s="43"/>
      <c r="P59" s="43"/>
      <c r="Q59" s="43"/>
      <c r="R59" s="43"/>
      <c r="S59" s="43"/>
    </row>
    <row r="60" spans="1:19" x14ac:dyDescent="0.2">
      <c r="A60" s="91"/>
      <c r="B60" s="68" t="str">
        <f>'Parameters List'!B60</f>
        <v>Loss Velocity (m/s)</v>
      </c>
      <c r="C60" s="67">
        <f>C$38*1000/C$30</f>
        <v>851.06416356286343</v>
      </c>
      <c r="D60" s="67">
        <f>D$38*1000/D$30</f>
        <v>9078.017744670542</v>
      </c>
      <c r="F60" s="43"/>
      <c r="G60" s="43"/>
      <c r="H60" s="43"/>
      <c r="I60" s="43"/>
      <c r="J60" s="43"/>
      <c r="K60" s="43"/>
      <c r="L60" s="43"/>
      <c r="M60" s="43"/>
      <c r="N60" s="43"/>
      <c r="O60" s="43"/>
      <c r="P60" s="43"/>
      <c r="Q60" s="43"/>
      <c r="R60" s="43"/>
      <c r="S60" s="43"/>
    </row>
    <row r="61" spans="1:19" x14ac:dyDescent="0.2">
      <c r="A61" s="92"/>
      <c r="B61" s="68" t="str">
        <f>'Parameters List'!B61</f>
        <v>Velocity Loss (dB)</v>
      </c>
      <c r="C61" s="67">
        <f>IF(C$59&lt;C$60, 0, IF(C$47=1, IF(C$59&lt;2*C$60, (C$59 / C$60)*0.5*$C$203, 10), IF(C$47=0, IF(C$59&lt;2*C$60, (C$59 / C$60)*$C$202-$C$202/2, 10), 10)))+(-20*LOG10(ABS(SIN(PI()*C$59*$C$168*C$36*10^-6)/(PI()*C$59*$C$168*C$36*10^-6))))</f>
        <v>2.8042727856307954E-5</v>
      </c>
      <c r="D61" s="67">
        <f>IF(D$59&lt;D$60, 0, IF(D$47=1, IF(D$59&lt;2*D$60, (D$59 / D$60)*0.5*$C$203, 10), IF(D$47=0, IF(D$59&lt;2*D$60, (D$59 / D$60)*$C$202-$C$202/2, 10), 10)))+(-20*LOG10(ABS(SIN(PI()*D$59*$C$168*D$36*10^-6)/(PI()*D$59*$C$168*D$36*10^-6))))</f>
        <v>4.7392231192217846E-5</v>
      </c>
    </row>
    <row r="62" spans="1:19" x14ac:dyDescent="0.2">
      <c r="A62" s="92"/>
      <c r="B62" s="71" t="str">
        <f>'Parameters List'!B62</f>
        <v>Max Acceleration (m/s2)</v>
      </c>
      <c r="C62" s="64">
        <v>5</v>
      </c>
      <c r="D62" s="64">
        <v>0</v>
      </c>
    </row>
    <row r="63" spans="1:19" x14ac:dyDescent="0.2">
      <c r="A63" s="91"/>
      <c r="B63" s="68" t="str">
        <f>'Parameters List'!B63</f>
        <v>Loss Acceleration (m/s2)</v>
      </c>
      <c r="C63" s="67">
        <f>C$65*1000/C$30*$C$196</f>
        <v>16.394549000579126</v>
      </c>
      <c r="D63" s="67">
        <f>D$65*1000/D$30*$C$196</f>
        <v>1865.3353529547805</v>
      </c>
      <c r="F63" s="43"/>
      <c r="G63" s="43"/>
      <c r="H63" s="43"/>
      <c r="I63" s="43"/>
      <c r="J63" s="43"/>
      <c r="K63" s="43"/>
      <c r="L63" s="43"/>
      <c r="M63" s="43"/>
      <c r="N63" s="43"/>
      <c r="O63" s="43"/>
      <c r="P63" s="43"/>
      <c r="Q63" s="43"/>
      <c r="R63" s="43"/>
      <c r="S63" s="43"/>
    </row>
    <row r="64" spans="1:19" x14ac:dyDescent="0.2">
      <c r="A64" s="92"/>
      <c r="B64" s="68" t="str">
        <f>'Parameters List'!B64</f>
        <v>Acceleration Loss (dB)</v>
      </c>
      <c r="C64" s="67">
        <f>IF( C$62 &gt;= C$63, C$62 / C$63 * $C$198, 0)</f>
        <v>0</v>
      </c>
      <c r="D64" s="67">
        <f>IF( D$62 &gt;= D$63, D$62 / D$63 * $C$198, 0)</f>
        <v>0</v>
      </c>
    </row>
    <row r="65" spans="1:19" x14ac:dyDescent="0.2">
      <c r="A65" s="91" t="s">
        <v>81</v>
      </c>
      <c r="B65" s="80" t="str">
        <f>'Parameters List'!B65</f>
        <v>fft2doppler (m/s per FFT bin)</v>
      </c>
      <c r="C65" s="70">
        <f>$C$106*1000/C$49/C$52/$C$168</f>
        <v>0.60790297397347381</v>
      </c>
      <c r="D65" s="70">
        <f>$C$106*1000/D$49/D$52/$C$168</f>
        <v>4.8632237917877905</v>
      </c>
      <c r="F65" s="43"/>
      <c r="G65" s="43"/>
      <c r="H65" s="43"/>
      <c r="I65" s="43"/>
      <c r="J65" s="43"/>
      <c r="K65" s="43"/>
      <c r="L65" s="43"/>
      <c r="M65" s="43"/>
      <c r="N65" s="43"/>
      <c r="O65" s="43"/>
      <c r="P65" s="43"/>
      <c r="Q65" s="43"/>
      <c r="R65" s="43"/>
      <c r="S65" s="43"/>
    </row>
    <row r="66" spans="1:19" x14ac:dyDescent="0.2">
      <c r="A66" s="91"/>
      <c r="B66" s="80" t="str">
        <f>'Parameters List'!B66</f>
        <v>Optimal Peak2Peak Seperation (m/s)</v>
      </c>
      <c r="C66" s="70">
        <f>(C$67+C$68+(C$67+1))*C$65</f>
        <v>13.981768401389898</v>
      </c>
      <c r="D66" s="70">
        <f>(D$67+D$68+(D$67+1))*D$65</f>
        <v>179.93928029614824</v>
      </c>
      <c r="F66" s="43"/>
      <c r="G66" s="43"/>
      <c r="H66" s="43"/>
      <c r="I66" s="43"/>
      <c r="J66" s="43"/>
      <c r="K66" s="43"/>
      <c r="L66" s="43"/>
      <c r="M66" s="43"/>
      <c r="N66" s="43"/>
      <c r="O66" s="43"/>
      <c r="P66" s="43"/>
      <c r="Q66" s="43"/>
      <c r="R66" s="43"/>
      <c r="S66" s="43"/>
    </row>
    <row r="67" spans="1:19" x14ac:dyDescent="0.2">
      <c r="A67" s="91"/>
      <c r="B67" s="95" t="str">
        <f>'Parameters List'!B67</f>
        <v># FFT bins of peak spreading (one side)</v>
      </c>
      <c r="C67" s="67">
        <f>ROUND((($C$200-1) / 2) * (C$52 / C$51) + (C$62*C$30/1000)/C$65,0)</f>
        <v>5</v>
      </c>
      <c r="D67" s="67">
        <f>ROUND((($C$200-1) / 2) * (D$52 / D$51) + (D$62*D$30/1000)/D$65,0)</f>
        <v>7</v>
      </c>
      <c r="F67" s="43"/>
      <c r="G67" s="43"/>
      <c r="H67" s="43"/>
      <c r="I67" s="43"/>
      <c r="J67" s="43"/>
      <c r="K67" s="43"/>
      <c r="L67" s="43"/>
      <c r="M67" s="43"/>
      <c r="N67" s="43"/>
      <c r="O67" s="43"/>
      <c r="P67" s="43"/>
      <c r="Q67" s="43"/>
      <c r="R67" s="43"/>
      <c r="S67" s="43"/>
    </row>
    <row r="68" spans="1:19" x14ac:dyDescent="0.2">
      <c r="A68" s="91"/>
      <c r="B68" s="95" t="str">
        <f>'Parameters List'!B68</f>
        <v># FFT bins for noise estimation (one side)</v>
      </c>
      <c r="C68" s="67">
        <f>ROUND((($C$201-1)/2*$C$197/$C$199)*(C$52/C$51),0)</f>
        <v>12</v>
      </c>
      <c r="D68" s="67">
        <f>ROUND((($C$201-1)/2*$C$197/$C$199)*(D$52/D$51),0)</f>
        <v>22</v>
      </c>
      <c r="F68" s="43"/>
      <c r="G68" s="43"/>
      <c r="H68" s="43"/>
      <c r="I68" s="43"/>
      <c r="J68" s="43"/>
      <c r="K68" s="43"/>
      <c r="L68" s="43"/>
      <c r="M68" s="43"/>
      <c r="N68" s="43"/>
      <c r="O68" s="43"/>
      <c r="P68" s="43"/>
      <c r="Q68" s="43"/>
      <c r="R68" s="43"/>
      <c r="S68" s="43"/>
    </row>
    <row r="69" spans="1:19" x14ac:dyDescent="0.2">
      <c r="A69" s="91"/>
      <c r="B69" s="95" t="str">
        <f>'Parameters List'!B69</f>
        <v># FFT bins of clutter margin (one side)</v>
      </c>
      <c r="C69" s="67">
        <f>C$57/C$65</f>
        <v>6.2328959999999993</v>
      </c>
      <c r="D69" s="67">
        <f>D$57/D$65</f>
        <v>7.1541119999999996</v>
      </c>
      <c r="F69" s="43"/>
      <c r="G69" s="43"/>
      <c r="H69" s="43"/>
      <c r="I69" s="43"/>
      <c r="J69" s="43"/>
      <c r="K69" s="43"/>
      <c r="L69" s="43"/>
      <c r="M69" s="43"/>
      <c r="N69" s="43"/>
      <c r="O69" s="43"/>
      <c r="P69" s="43"/>
      <c r="Q69" s="43"/>
      <c r="R69" s="43"/>
      <c r="S69" s="43"/>
    </row>
    <row r="70" spans="1:19" x14ac:dyDescent="0.2">
      <c r="A70" s="91"/>
      <c r="B70" s="95" t="str">
        <f>'Parameters List'!B70</f>
        <v># FFT bins to min velocity</v>
      </c>
      <c r="C70" s="67">
        <f>FLOOR(C$58/C$65,1)</f>
        <v>0</v>
      </c>
      <c r="D70" s="67">
        <f>FLOOR(D$58/D$65,1)</f>
        <v>0</v>
      </c>
      <c r="F70" s="43"/>
      <c r="G70" s="43"/>
      <c r="H70" s="43"/>
      <c r="I70" s="43"/>
      <c r="J70" s="43"/>
      <c r="K70" s="43"/>
      <c r="L70" s="43"/>
      <c r="M70" s="43"/>
      <c r="N70" s="43"/>
      <c r="O70" s="43"/>
      <c r="P70" s="43"/>
      <c r="Q70" s="43"/>
      <c r="R70" s="43"/>
      <c r="S70" s="43"/>
    </row>
    <row r="71" spans="1:19" x14ac:dyDescent="0.2">
      <c r="A71" s="91"/>
      <c r="B71" s="95" t="str">
        <f>'Parameters List'!B71</f>
        <v># FFT bins to max velocity</v>
      </c>
      <c r="C71" s="67">
        <f>CEILING(C$59/C$65,1)</f>
        <v>247</v>
      </c>
      <c r="D71" s="67">
        <f>CEILING(D$59/D$65,1)</f>
        <v>5</v>
      </c>
      <c r="F71" s="43"/>
      <c r="G71" s="43"/>
      <c r="H71" s="43"/>
      <c r="I71" s="43"/>
      <c r="J71" s="43"/>
      <c r="K71" s="43"/>
      <c r="L71" s="43"/>
      <c r="M71" s="43"/>
      <c r="N71" s="43"/>
      <c r="O71" s="43"/>
      <c r="P71" s="43"/>
      <c r="Q71" s="43"/>
      <c r="R71" s="43"/>
      <c r="S71" s="43"/>
    </row>
    <row r="72" spans="1:19" x14ac:dyDescent="0.2">
      <c r="A72" s="91" t="s">
        <v>81</v>
      </c>
      <c r="B72" s="95" t="str">
        <f>'Parameters List'!B72</f>
        <v>Noise Mask (example: '-13,-4,4,13)</v>
      </c>
      <c r="C72" s="67" t="str">
        <f>CONCATENATE(TEXT(-C$68-C$67,"0"),",",TEXT(-C$67-1,"0"),",",TEXT(C$67+1,"0"),",",TEXT(C$68+C$67,"0"))</f>
        <v>-17,-6,6,17</v>
      </c>
      <c r="D72" s="67" t="str">
        <f>CONCATENATE(TEXT(-D$68-D$67,"0"),",",TEXT(-D$67-1,"0"),",",TEXT(D$67+1,"0"),",",TEXT(D$68+D$67,"0"))</f>
        <v>-29,-8,8,29</v>
      </c>
      <c r="F72" s="43"/>
      <c r="G72" s="43"/>
      <c r="H72" s="43"/>
      <c r="I72" s="43"/>
      <c r="J72" s="43"/>
      <c r="K72" s="43"/>
      <c r="L72" s="43"/>
      <c r="M72" s="43"/>
      <c r="N72" s="43"/>
      <c r="O72" s="43"/>
      <c r="P72" s="43"/>
      <c r="Q72" s="43"/>
      <c r="R72" s="43"/>
      <c r="S72" s="43"/>
    </row>
    <row r="73" spans="1:19" x14ac:dyDescent="0.2">
      <c r="A73" s="91" t="s">
        <v>81</v>
      </c>
      <c r="B73" s="94" t="str">
        <f>'Parameters List'!B73</f>
        <v>Options (see Options List sheet)</v>
      </c>
      <c r="C73" s="101"/>
      <c r="D73" s="101" t="s">
        <v>86</v>
      </c>
      <c r="F73" s="43"/>
      <c r="G73" s="43"/>
      <c r="H73" s="43"/>
      <c r="I73" s="43"/>
      <c r="J73" s="43"/>
      <c r="K73" s="43"/>
      <c r="L73" s="43"/>
      <c r="M73" s="43"/>
      <c r="N73" s="43"/>
      <c r="O73" s="43"/>
      <c r="P73" s="43"/>
      <c r="Q73" s="43"/>
      <c r="R73" s="43"/>
      <c r="S73" s="43"/>
    </row>
    <row r="74" spans="1:19" x14ac:dyDescent="0.2">
      <c r="A74" s="91" t="s">
        <v>81</v>
      </c>
      <c r="B74" s="94" t="str">
        <f>'Parameters List'!B74</f>
        <v>SNR Threshold (dB)</v>
      </c>
      <c r="C74" s="73">
        <v>12</v>
      </c>
      <c r="D74" s="73">
        <v>14</v>
      </c>
      <c r="F74" s="43"/>
      <c r="G74" s="43"/>
      <c r="H74" s="43"/>
      <c r="I74" s="43"/>
      <c r="J74" s="43"/>
      <c r="K74" s="43"/>
      <c r="L74" s="43"/>
      <c r="M74" s="43"/>
      <c r="N74" s="43"/>
      <c r="O74" s="43"/>
      <c r="P74" s="43"/>
      <c r="Q74" s="43"/>
      <c r="R74" s="43"/>
      <c r="S74" s="43"/>
    </row>
    <row r="75" spans="1:19" x14ac:dyDescent="0.2">
      <c r="A75" s="91"/>
      <c r="B75" s="80" t="str">
        <f>'Parameters List'!B75</f>
        <v>Probability of False Alarm</v>
      </c>
      <c r="C75" s="70">
        <f>pf_PD_PFA_CFAR("pfa", C$74, C$120, C$121, C$68*2, 1)</f>
        <v>5.1888289024436828E-6</v>
      </c>
      <c r="D75" s="70">
        <f>pf_PD_PFA_CFAR("pfa", D$74, D$120, D$121, D$68*2, 1)</f>
        <v>2.3424355116516147E-9</v>
      </c>
      <c r="F75" s="43"/>
      <c r="G75" s="43"/>
      <c r="H75" s="43"/>
      <c r="I75" s="43"/>
      <c r="J75" s="43"/>
      <c r="K75" s="43"/>
      <c r="L75" s="43"/>
      <c r="M75" s="43"/>
      <c r="N75" s="43"/>
      <c r="O75" s="43"/>
      <c r="P75" s="43"/>
      <c r="Q75" s="43"/>
      <c r="R75" s="43"/>
      <c r="S75" s="43"/>
    </row>
    <row r="76" spans="1:19" x14ac:dyDescent="0.2">
      <c r="A76" s="91"/>
      <c r="B76" s="80" t="str">
        <f>'Parameters List'!B76</f>
        <v>Probability of False Alarm per CPI</v>
      </c>
      <c r="C76" s="70">
        <f>C$75*C$52*C$53</f>
        <v>9.5640494329841966E-2</v>
      </c>
      <c r="D76" s="70">
        <f>D$75*D$52*D$53</f>
        <v>0</v>
      </c>
      <c r="F76" s="43"/>
      <c r="G76" s="43"/>
      <c r="H76" s="43"/>
      <c r="I76" s="43"/>
      <c r="J76" s="43"/>
      <c r="K76" s="43"/>
      <c r="L76" s="43"/>
      <c r="M76" s="43"/>
      <c r="N76" s="43"/>
      <c r="O76" s="43"/>
      <c r="P76" s="43"/>
      <c r="Q76" s="43"/>
      <c r="R76" s="43"/>
      <c r="S76" s="43"/>
    </row>
    <row r="77" spans="1:19" x14ac:dyDescent="0.2">
      <c r="A77" s="91"/>
      <c r="B77" s="80" t="str">
        <f>'Parameters List'!B77</f>
        <v>Probability of False Alarm per SEC</v>
      </c>
      <c r="C77" s="70">
        <f>C$76/(C$30/1000)</f>
        <v>1.3575424454067775</v>
      </c>
      <c r="D77" s="70">
        <f>D$76/(D$30/1000)</f>
        <v>0</v>
      </c>
      <c r="F77" s="43"/>
      <c r="G77" s="43"/>
      <c r="H77" s="43"/>
      <c r="I77" s="43"/>
      <c r="J77" s="43"/>
      <c r="K77" s="43"/>
      <c r="L77" s="43"/>
      <c r="M77" s="43"/>
      <c r="N77" s="43"/>
      <c r="O77" s="43"/>
      <c r="P77" s="43"/>
      <c r="Q77" s="43"/>
      <c r="R77" s="43"/>
      <c r="S77" s="43"/>
    </row>
    <row r="78" spans="1:19" x14ac:dyDescent="0.2">
      <c r="A78" s="91"/>
      <c r="B78" s="94" t="str">
        <f>'Parameters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'Parameters List'!B79</f>
        <v>STC Init Range (m)</v>
      </c>
      <c r="C79" s="70">
        <f>10^((40*LOG10(C$44)-(C$78-C$99)) / 40)</f>
        <v>812.20355192856789</v>
      </c>
      <c r="D79" s="70">
        <f>10^((40*LOG10(D$44)-(D$78-D$99)) / 40)</f>
        <v>799.33931102992949</v>
      </c>
      <c r="F79" s="43"/>
      <c r="G79" s="43"/>
      <c r="H79" s="43"/>
      <c r="I79" s="43"/>
      <c r="J79" s="43"/>
      <c r="K79" s="43"/>
      <c r="L79" s="43"/>
      <c r="M79" s="43"/>
      <c r="N79" s="43"/>
      <c r="O79" s="43"/>
      <c r="P79" s="43"/>
      <c r="Q79" s="43"/>
      <c r="R79" s="43"/>
      <c r="S79" s="43"/>
    </row>
    <row r="80" spans="1:19" x14ac:dyDescent="0.2">
      <c r="A80" s="91"/>
      <c r="B80" s="94" t="str">
        <f>'Parameters List'!B80</f>
        <v>Tapered Array (0/1)</v>
      </c>
      <c r="C80" s="101">
        <v>0</v>
      </c>
      <c r="D80" s="101">
        <v>0</v>
      </c>
      <c r="F80" s="43"/>
      <c r="G80" s="43"/>
      <c r="H80" s="43"/>
      <c r="I80" s="43"/>
      <c r="J80" s="43"/>
      <c r="K80" s="43"/>
      <c r="L80" s="43"/>
      <c r="M80" s="43"/>
      <c r="N80" s="43"/>
      <c r="O80" s="43"/>
      <c r="P80" s="43"/>
      <c r="Q80" s="43"/>
      <c r="R80" s="43"/>
      <c r="S80" s="43"/>
    </row>
    <row r="81" spans="1:19" x14ac:dyDescent="0.2">
      <c r="A81" s="91"/>
      <c r="B81" s="94" t="str">
        <f>'Parameters List'!B81</f>
        <v>AGC Set (1-6)</v>
      </c>
      <c r="C81" s="101">
        <v>3</v>
      </c>
      <c r="D81" s="101">
        <v>1</v>
      </c>
      <c r="F81" s="43"/>
      <c r="G81" s="43"/>
      <c r="H81" s="43"/>
      <c r="I81" s="43"/>
      <c r="J81" s="43"/>
      <c r="K81" s="43"/>
      <c r="L81" s="43"/>
      <c r="M81" s="43"/>
      <c r="N81" s="43"/>
      <c r="O81" s="43"/>
      <c r="P81" s="43"/>
      <c r="Q81" s="43"/>
      <c r="R81" s="43"/>
      <c r="S81" s="43"/>
    </row>
    <row r="82" spans="1:19" x14ac:dyDescent="0.2">
      <c r="A82" s="91"/>
      <c r="B82" s="95" t="str">
        <f>'Parameters List'!B82</f>
        <v>RF AGC (dB) - 1st Rx</v>
      </c>
      <c r="C82" s="67">
        <f>VLOOKUP(C$81,'AGC Set Table'!$A$3:$K$9,2,FALSE)</f>
        <v>0</v>
      </c>
      <c r="D82" s="67">
        <f>VLOOKUP(D$81,'AGC Set Table'!$A$3:$K$9,2,FALSE)</f>
        <v>0</v>
      </c>
      <c r="F82" s="43"/>
      <c r="G82" s="43"/>
      <c r="H82" s="43"/>
      <c r="I82" s="43"/>
      <c r="J82" s="43"/>
      <c r="K82" s="43"/>
      <c r="L82" s="43"/>
      <c r="M82" s="43"/>
      <c r="N82" s="43"/>
      <c r="O82" s="43"/>
      <c r="P82" s="43"/>
      <c r="Q82" s="43"/>
      <c r="R82" s="43"/>
      <c r="S82" s="43"/>
    </row>
    <row r="83" spans="1:19" x14ac:dyDescent="0.2">
      <c r="A83" s="91"/>
      <c r="B83" s="95" t="str">
        <f>'Parameters List'!B83</f>
        <v>IF AGC (dB) - 1st Rx</v>
      </c>
      <c r="C83" s="67">
        <f>VLOOKUP(C$81,'AGC Set Table'!$A$3:$K$9,3,FALSE)</f>
        <v>25</v>
      </c>
      <c r="D83" s="67">
        <f>VLOOKUP(D$81,'AGC Set Table'!$A$3:$K$9,3,FALSE)</f>
        <v>15</v>
      </c>
      <c r="F83" s="43"/>
      <c r="G83" s="43"/>
      <c r="H83" s="43"/>
      <c r="I83" s="43"/>
      <c r="J83" s="43"/>
      <c r="K83" s="43"/>
      <c r="L83" s="43"/>
      <c r="M83" s="43"/>
      <c r="N83" s="43"/>
      <c r="O83" s="43"/>
      <c r="P83" s="43"/>
      <c r="Q83" s="43"/>
      <c r="R83" s="43"/>
      <c r="S83" s="43"/>
    </row>
    <row r="84" spans="1:19" x14ac:dyDescent="0.2">
      <c r="A84" s="91"/>
      <c r="B84" s="95" t="str">
        <f>'Parameters List'!B84</f>
        <v>RF AGC (dB) - Ref Rx</v>
      </c>
      <c r="C84" s="67">
        <f>VLOOKUP(C$81,'AGC Set Table'!$A$3:$K$9,8,FALSE)</f>
        <v>0</v>
      </c>
      <c r="D84" s="67">
        <f>VLOOKUP(D$81,'AGC Set Table'!$A$3:$K$9,8,FALSE)</f>
        <v>0</v>
      </c>
      <c r="F84" s="43"/>
      <c r="G84" s="43"/>
      <c r="H84" s="43"/>
      <c r="I84" s="43"/>
      <c r="J84" s="43"/>
      <c r="K84" s="43"/>
      <c r="L84" s="43"/>
      <c r="M84" s="43"/>
      <c r="N84" s="43"/>
      <c r="O84" s="43"/>
      <c r="P84" s="43"/>
      <c r="Q84" s="43"/>
      <c r="R84" s="43"/>
      <c r="S84" s="43"/>
    </row>
    <row r="85" spans="1:19" x14ac:dyDescent="0.2">
      <c r="A85" s="91"/>
      <c r="B85" s="95" t="str">
        <f>'Parameters List'!B85</f>
        <v>IF AGC (dB) - Ref Rx</v>
      </c>
      <c r="C85" s="67">
        <f>VLOOKUP(C$81,'AGC Set Table'!$A$3:$K$9,9,FALSE)</f>
        <v>5</v>
      </c>
      <c r="D85" s="67">
        <f>VLOOKUP(D$81,'AGC Set Table'!$A$3:$K$9,9,FALSE)</f>
        <v>5</v>
      </c>
      <c r="F85" s="43"/>
      <c r="G85" s="43"/>
      <c r="H85" s="43"/>
      <c r="I85" s="43"/>
      <c r="J85" s="43"/>
      <c r="K85" s="43"/>
      <c r="L85" s="43"/>
      <c r="M85" s="43"/>
      <c r="N85" s="43"/>
      <c r="O85" s="43"/>
      <c r="P85" s="43"/>
      <c r="Q85" s="43"/>
      <c r="R85" s="43"/>
      <c r="S85" s="43"/>
    </row>
    <row r="86" spans="1:19" x14ac:dyDescent="0.2">
      <c r="A86" s="91"/>
      <c r="B86" s="95" t="str">
        <f>'Parameters List'!B86</f>
        <v>NF @ADCout (dB) - 1st Rx</v>
      </c>
      <c r="C86" s="67">
        <f>VLOOKUP(C$81,'AGC Set Table'!$A$3:$K$9,IF(C$80=0,6,IF(C$80=1,7)),FALSE)</f>
        <v>4.1399999999999997</v>
      </c>
      <c r="D86" s="67">
        <f>VLOOKUP(D$81,'AGC Set Table'!$A$3:$K$9,IF(D$80=0,6,IF(D$80=1,7)),FALSE)</f>
        <v>2.75</v>
      </c>
      <c r="F86" s="43"/>
      <c r="G86" s="43"/>
      <c r="H86" s="43"/>
      <c r="I86" s="43"/>
      <c r="J86" s="43"/>
      <c r="K86" s="43"/>
      <c r="L86" s="43"/>
      <c r="M86" s="43"/>
      <c r="N86" s="43"/>
      <c r="O86" s="43"/>
      <c r="P86" s="43"/>
      <c r="Q86" s="43"/>
      <c r="R86" s="43"/>
      <c r="S86" s="43"/>
    </row>
    <row r="87" spans="1:19" x14ac:dyDescent="0.2">
      <c r="A87" s="91"/>
      <c r="B87" s="95" t="str">
        <f>'Parameters List'!B87</f>
        <v>NF @ADCout (dB) - Ref Rx</v>
      </c>
      <c r="C87" s="67">
        <f>VLOOKUP(C$81,'AGC Set Table'!$A$3:$K$9,11,FALSE)</f>
        <v>2.5299999999999998</v>
      </c>
      <c r="D87" s="67">
        <f>VLOOKUP(D$81,'AGC Set Table'!$A$3:$K$9,11,FALSE)</f>
        <v>2.5299999999999998</v>
      </c>
      <c r="F87" s="43"/>
      <c r="G87" s="43"/>
      <c r="H87" s="43"/>
      <c r="I87" s="43"/>
      <c r="J87" s="43"/>
      <c r="K87" s="43"/>
      <c r="L87" s="43"/>
      <c r="M87" s="43"/>
      <c r="N87" s="43"/>
      <c r="O87" s="43"/>
      <c r="P87" s="43"/>
      <c r="Q87" s="43"/>
      <c r="R87" s="43"/>
      <c r="S87" s="43"/>
    </row>
    <row r="88" spans="1:19" x14ac:dyDescent="0.2">
      <c r="A88" s="91" t="s">
        <v>81</v>
      </c>
      <c r="B88" s="94" t="str">
        <f>'Parameters List'!B88</f>
        <v>RCS (m^2)</v>
      </c>
      <c r="C88" s="74">
        <v>5.0000000000000001E-3</v>
      </c>
      <c r="D88" s="74">
        <v>5.0000000000000001E-3</v>
      </c>
      <c r="F88" s="43"/>
      <c r="G88" s="43"/>
      <c r="H88" s="43"/>
      <c r="I88" s="43"/>
      <c r="J88" s="43"/>
      <c r="K88" s="43"/>
      <c r="L88" s="43"/>
      <c r="M88" s="43"/>
      <c r="N88" s="43"/>
      <c r="O88" s="43"/>
      <c r="P88" s="43"/>
      <c r="Q88" s="43"/>
      <c r="R88" s="43"/>
      <c r="S88" s="43"/>
    </row>
    <row r="89" spans="1:19" x14ac:dyDescent="0.2">
      <c r="A89" s="91"/>
      <c r="B89" s="95" t="str">
        <f>'Parameters List'!B89</f>
        <v>σ(dB/m2)</v>
      </c>
      <c r="C89" s="67">
        <f>10*LOG10(C$88)</f>
        <v>-23.010299956639813</v>
      </c>
      <c r="D89" s="67">
        <f>10*LOG10(D$88)</f>
        <v>-23.010299956639813</v>
      </c>
      <c r="F89" s="43"/>
      <c r="G89" s="43"/>
      <c r="H89" s="43"/>
      <c r="I89" s="43"/>
      <c r="J89" s="43"/>
      <c r="K89" s="43"/>
      <c r="L89" s="43"/>
      <c r="M89" s="43"/>
      <c r="N89" s="43"/>
      <c r="O89" s="43"/>
      <c r="P89" s="43"/>
      <c r="Q89" s="43"/>
      <c r="R89" s="43"/>
      <c r="S89" s="43"/>
    </row>
    <row r="90" spans="1:19" x14ac:dyDescent="0.2">
      <c r="A90" s="91"/>
      <c r="B90" s="80" t="str">
        <f>'Parameters List'!B90</f>
        <v>Tgt min range @ADCin (dBm) - Ref. Rx</v>
      </c>
      <c r="C90" s="70">
        <f>$C$185+$C$186+$C$188+C$89+$C$189-$C$190-40*LOG10(C$43)+$C$171-C$84-C$85-$C$179*(C$80=1)</f>
        <v>-24.237552158978019</v>
      </c>
      <c r="D90" s="70">
        <f>$C$185+$C$186+$C$188+D$89+$C$189-$C$190-40*LOG10(D$43)+$C$171-D$84-D$85-$C$179*(D$80=1)</f>
        <v>-56.750078142972768</v>
      </c>
      <c r="F90" s="43"/>
      <c r="G90" s="43"/>
      <c r="H90" s="43"/>
      <c r="I90" s="43"/>
      <c r="J90" s="43"/>
      <c r="K90" s="43"/>
      <c r="L90" s="43"/>
      <c r="M90" s="43"/>
      <c r="N90" s="43"/>
      <c r="O90" s="43"/>
      <c r="P90" s="43"/>
      <c r="Q90" s="43"/>
      <c r="R90" s="43"/>
      <c r="S90" s="43"/>
    </row>
    <row r="91" spans="1:19" x14ac:dyDescent="0.2">
      <c r="A91" s="91"/>
      <c r="B91" s="80" t="str">
        <f>'Parameters List'!B91</f>
        <v>Tgt max range @ADCin (dBm) - Ref. Rx</v>
      </c>
      <c r="C91" s="70">
        <f>$C$185+$C$186+$C$188+C$89+$C$189-$C$190-40*LOG10(C$44)+$C$171-C$84-C$85-$C$179*(C$80=1)</f>
        <v>-68.340354030065441</v>
      </c>
      <c r="D91" s="70">
        <f>$C$185+$C$186+$C$188+D$89+$C$189-$C$190-40*LOG10(D$44)+$C$171-D$84-D$85-$C$179*(D$80=1)</f>
        <v>-72.932901645814809</v>
      </c>
      <c r="F91" s="43"/>
      <c r="G91" s="43"/>
      <c r="H91" s="43"/>
      <c r="I91" s="43"/>
      <c r="J91" s="43"/>
      <c r="K91" s="43"/>
      <c r="L91" s="43"/>
      <c r="M91" s="43"/>
      <c r="N91" s="43"/>
      <c r="O91" s="43"/>
      <c r="P91" s="43"/>
      <c r="Q91" s="43"/>
      <c r="R91" s="43"/>
      <c r="S91" s="43"/>
    </row>
    <row r="92" spans="1:19" x14ac:dyDescent="0.2">
      <c r="A92" s="91"/>
      <c r="B92" s="95" t="str">
        <f>'Parameters List'!B92</f>
        <v>1st Rx Noise @ADCout (dBm/bin)</v>
      </c>
      <c r="C92" s="67">
        <f>C$86+$C$173+$C$171-C$84-C$85+10*LOG10($C$175*10^6)-$C$178*(C$80=1)+10*LOG10($C$156/$C$157)</f>
        <v>-34.839400086720389</v>
      </c>
      <c r="D92" s="67">
        <f>D$86+$C$173+$C$171-D$84-D$85+10*LOG10($C$175*10^6)-$C$178*(D$80=1)+10*LOG10($C$156/$C$157)</f>
        <v>-36.229400086720375</v>
      </c>
      <c r="F92" s="43"/>
      <c r="G92" s="43"/>
      <c r="H92" s="43"/>
      <c r="I92" s="43"/>
      <c r="J92" s="43"/>
      <c r="K92" s="43"/>
      <c r="L92" s="43"/>
      <c r="M92" s="43"/>
      <c r="N92" s="43"/>
      <c r="O92" s="43"/>
      <c r="P92" s="43"/>
      <c r="Q92" s="43"/>
      <c r="R92" s="43"/>
      <c r="S92" s="43"/>
    </row>
    <row r="93" spans="1:19" x14ac:dyDescent="0.2">
      <c r="A93" s="91"/>
      <c r="B93" s="95" t="str">
        <f>'Parameters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'Parameters List'!B94</f>
        <v>Total Noise @ADCout (dBm/bin)</v>
      </c>
      <c r="C94" s="67">
        <f>10*LOG10(10^((C$93 + 10*LOG10($C$157))/10) + 10^((C$92 + 10*LOG10(($C$182-$C$157) / $C$156))/10))+ (10*LOG10(C$34) - C$35) * (C$34&gt;1)</f>
        <v>-28.74449759340315</v>
      </c>
      <c r="D94" s="67">
        <f>10*LOG10(10^((D$93 + 10*LOG10($C$157))/10) + 10^((D$92 + 10*LOG10(($C$182-$C$157) / $C$156))/10))+ (10*LOG10(D$34) - D$35) * (D$34&gt;1)</f>
        <v>-30.106796884948185</v>
      </c>
      <c r="F94" s="43"/>
      <c r="G94" s="43"/>
      <c r="H94" s="43"/>
      <c r="I94" s="43"/>
      <c r="J94" s="43"/>
      <c r="K94" s="43"/>
      <c r="L94" s="43"/>
      <c r="M94" s="43"/>
      <c r="N94" s="43"/>
      <c r="O94" s="43"/>
      <c r="P94" s="43"/>
      <c r="Q94" s="43"/>
      <c r="R94" s="43"/>
      <c r="S94" s="43"/>
    </row>
    <row r="95" spans="1:19" x14ac:dyDescent="0.2">
      <c r="A95" s="91" t="s">
        <v>81</v>
      </c>
      <c r="B95" s="95" t="str">
        <f>'Parameters List'!B95</f>
        <v>Rx Processing Gain (dB)</v>
      </c>
      <c r="C95" s="67">
        <f>10*LOG10(C$46/2 * C$48 * C$51 * C$49) - $C$195</f>
        <v>48.125099262876809</v>
      </c>
      <c r="D95" s="67">
        <f>10*LOG10(D$46/2 * D$48 * D$51 * D$49) - $C$195</f>
        <v>46.485470817776744</v>
      </c>
      <c r="F95" s="43"/>
      <c r="G95" s="43"/>
      <c r="H95" s="43"/>
      <c r="I95" s="43"/>
      <c r="J95" s="43"/>
      <c r="K95" s="43"/>
      <c r="L95" s="43"/>
      <c r="M95" s="43"/>
      <c r="N95" s="43"/>
      <c r="O95" s="43"/>
      <c r="P95" s="43"/>
      <c r="Q95" s="43"/>
      <c r="R95" s="43"/>
      <c r="S95" s="43"/>
    </row>
    <row r="96" spans="1:19" x14ac:dyDescent="0.2">
      <c r="A96" s="91"/>
      <c r="B96" s="95" t="str">
        <f>'Parameters List'!B96</f>
        <v>Total Processing Gain (dB)</v>
      </c>
      <c r="C96" s="67">
        <f>C$95 + 20*LOG10($C$182) + (20*LOG10(C$34) - 2 * C$35) * (C$34&gt;1)-$C$179*(C$80=1)-$C$177*(C$80=1)</f>
        <v>80.380776397271518</v>
      </c>
      <c r="D96" s="67">
        <f>D$95 + 20*LOG10($C$182) + (20*LOG10(D$34) - 2 * D$35) * (D$34&gt;1)-$C$179*(D$80=1)-$C$177*(D$80=1)</f>
        <v>78.741147952171445</v>
      </c>
      <c r="F96" s="43"/>
      <c r="G96" s="43"/>
      <c r="H96" s="43"/>
      <c r="I96" s="43"/>
      <c r="J96" s="43"/>
      <c r="K96" s="43"/>
      <c r="L96" s="43"/>
      <c r="M96" s="43"/>
      <c r="N96" s="43"/>
      <c r="O96" s="43"/>
      <c r="P96" s="43"/>
      <c r="Q96" s="43"/>
      <c r="R96" s="43"/>
      <c r="S96" s="43"/>
    </row>
    <row r="97" spans="1:19" x14ac:dyDescent="0.2">
      <c r="A97" s="92"/>
      <c r="B97" s="95" t="str">
        <f>'Parameters List'!B97</f>
        <v>Total Loss (dB)</v>
      </c>
      <c r="C97" s="67">
        <f>$C$191 + ($C$202*(C$47=0)+$C$203*(C$47=1)+$C$198) + C$61 + C$64</f>
        <v>1.6628130427278562</v>
      </c>
      <c r="D97" s="67">
        <f>$C$191 + ($C$202*(D$47=0)+$C$203*(D$47=1)+$C$198) + D$61 + D$64</f>
        <v>1.6628323922311923</v>
      </c>
    </row>
    <row r="98" spans="1:19" x14ac:dyDescent="0.2">
      <c r="A98" s="91"/>
      <c r="B98" s="80" t="str">
        <f>'Parameters List'!B98</f>
        <v>SNR min range (dB)</v>
      </c>
      <c r="C98" s="70">
        <f>C$90+C$96-C$94-C$97</f>
        <v>83.22490878896879</v>
      </c>
      <c r="D98" s="70">
        <f>D$90+D$96-D$94-D$97</f>
        <v>50.435034301915664</v>
      </c>
      <c r="F98" s="43"/>
      <c r="G98" s="43"/>
      <c r="H98" s="43"/>
      <c r="I98" s="43"/>
      <c r="J98" s="43"/>
      <c r="K98" s="43"/>
      <c r="L98" s="43"/>
      <c r="M98" s="43"/>
      <c r="N98" s="43"/>
      <c r="O98" s="43"/>
      <c r="P98" s="43"/>
      <c r="Q98" s="43"/>
      <c r="R98" s="43"/>
      <c r="S98" s="43"/>
    </row>
    <row r="99" spans="1:19" x14ac:dyDescent="0.2">
      <c r="A99" s="91"/>
      <c r="B99" s="80" t="str">
        <f>'Parameters List'!B99</f>
        <v>SNR max range (dB)</v>
      </c>
      <c r="C99" s="70">
        <f>C$91+C$96-C$94-C$97</f>
        <v>39.122106917881375</v>
      </c>
      <c r="D99" s="70">
        <f>D$91+D$96-D$94-D$97</f>
        <v>34.252210799073623</v>
      </c>
      <c r="F99" s="43"/>
      <c r="G99" s="43"/>
      <c r="H99" s="43"/>
      <c r="I99" s="43"/>
      <c r="J99" s="43"/>
      <c r="K99" s="43"/>
      <c r="L99" s="43"/>
      <c r="M99" s="43"/>
      <c r="N99" s="43"/>
      <c r="O99" s="43"/>
      <c r="P99" s="43"/>
      <c r="Q99" s="43"/>
      <c r="R99" s="43"/>
      <c r="S99" s="43"/>
    </row>
    <row r="100" spans="1:19" x14ac:dyDescent="0.2">
      <c r="A100" s="91"/>
      <c r="B100" s="95" t="str">
        <f>'Parameters List'!B100</f>
        <v>Duty cycle per beam</v>
      </c>
      <c r="C100" s="67">
        <f>C$36/$C$104</f>
        <v>4.651162790697675E-2</v>
      </c>
      <c r="D100" s="67">
        <f>D$36/$C$104</f>
        <v>0.45348837209302334</v>
      </c>
      <c r="F100" s="43"/>
      <c r="G100" s="43"/>
      <c r="H100" s="43"/>
      <c r="I100" s="43"/>
      <c r="J100" s="43"/>
      <c r="K100" s="43"/>
      <c r="L100" s="43"/>
      <c r="M100" s="43"/>
      <c r="N100" s="43"/>
      <c r="O100" s="43"/>
      <c r="P100" s="43"/>
      <c r="Q100" s="43"/>
      <c r="R100" s="43"/>
      <c r="S100" s="43"/>
    </row>
    <row r="101" spans="1:19" x14ac:dyDescent="0.2">
      <c r="A101" s="91"/>
      <c r="B101" s="95" t="str">
        <f>'Parameters List'!B101</f>
        <v>Buffer size (KB)</v>
      </c>
      <c r="C101" s="67">
        <f>MROUND((IF(C$21, $C$210*$C$155, C$54)*C$51*8+64)/1024,4)</f>
        <v>720</v>
      </c>
      <c r="D101" s="67">
        <f>MROUND((IF(D$21, $C$210*$C$155, D$54)*D$51*8+64)/1024,4)</f>
        <v>0</v>
      </c>
      <c r="F101" s="43"/>
      <c r="G101" s="43"/>
      <c r="H101" s="43"/>
      <c r="I101" s="43"/>
      <c r="J101" s="43"/>
      <c r="K101" s="43"/>
      <c r="L101" s="43"/>
      <c r="M101" s="43"/>
      <c r="N101" s="43"/>
      <c r="O101" s="43"/>
      <c r="P101" s="43"/>
      <c r="Q101" s="43"/>
      <c r="R101" s="43"/>
      <c r="S101" s="43"/>
    </row>
    <row r="102" spans="1:19" x14ac:dyDescent="0.2">
      <c r="A102" s="91"/>
      <c r="B102" s="95" t="str">
        <f>'Parameters List'!B102</f>
        <v>PCIe Rate MB/s</v>
      </c>
      <c r="C102" s="67">
        <f>C$101*1024/C$30/1024</f>
        <v>10.21984011627907</v>
      </c>
      <c r="D102" s="67">
        <f>D$101*1024/D$30/1024</f>
        <v>0</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'Parameters List'!B104</f>
        <v>Total PRI (μs)</v>
      </c>
      <c r="C104" s="77">
        <f>(SUMIF($E$13:$AJ$13,"=1",$E$18:$AJ$18)*C$46+SUMIF($E$13:$AJ$13,"=2",$E$18:$AJ$18)*D$46)*$C$174+$C$208+COUNTIFS(E$13:AJ$13,"=1",E$15:AJ$15,"=1") * C$32 + COUNTIFS(E$13:AJ$13,"=1",E$15:AJ$15,"=2") * C$33 + COUNTIFS(E$13:AJ$13,"=2",E$15:AJ$15,"=1") * D$32 + COUNTIFS(E$13:AJ$13,"=2",E$15:AJ$15,"=2") * D$33</f>
        <v>8.6</v>
      </c>
      <c r="F104" s="43"/>
      <c r="G104" s="43"/>
      <c r="H104" s="43"/>
      <c r="I104" s="43"/>
      <c r="J104" s="43"/>
      <c r="K104" s="43"/>
      <c r="L104" s="43"/>
      <c r="M104" s="43"/>
      <c r="N104" s="43"/>
      <c r="O104" s="43"/>
      <c r="P104" s="43"/>
      <c r="Q104" s="43"/>
      <c r="R104" s="43"/>
      <c r="S104" s="43"/>
    </row>
    <row r="105" spans="1:19" x14ac:dyDescent="0.2">
      <c r="B105" s="76" t="str">
        <f>'Parameters List'!B105</f>
        <v>Unambiguous Range (km)</v>
      </c>
      <c r="C105" s="77">
        <f>$C$104*$C$163/1000</f>
        <v>1.2891075694</v>
      </c>
      <c r="F105" s="43"/>
      <c r="G105" s="43"/>
      <c r="H105" s="43"/>
      <c r="I105" s="43"/>
      <c r="J105" s="43"/>
      <c r="K105" s="43"/>
      <c r="L105" s="43"/>
      <c r="M105" s="43"/>
      <c r="N105" s="43"/>
      <c r="O105" s="43"/>
      <c r="P105" s="43"/>
      <c r="Q105" s="43"/>
      <c r="R105" s="43"/>
      <c r="S105" s="43"/>
    </row>
    <row r="106" spans="1:19" x14ac:dyDescent="0.2">
      <c r="B106" s="76" t="str">
        <f>'Parameters List'!B106</f>
        <v>Total PRF (kHz)</v>
      </c>
      <c r="C106" s="77">
        <f>1000/$C$104</f>
        <v>116.27906976744187</v>
      </c>
      <c r="F106" s="43"/>
      <c r="G106" s="43"/>
      <c r="H106" s="43"/>
      <c r="I106" s="43"/>
      <c r="J106" s="43"/>
      <c r="K106" s="43"/>
      <c r="L106" s="43"/>
      <c r="M106" s="43"/>
      <c r="N106" s="43"/>
      <c r="O106" s="43"/>
      <c r="P106" s="43"/>
      <c r="Q106" s="43"/>
      <c r="R106" s="43"/>
      <c r="S106" s="43"/>
    </row>
    <row r="107" spans="1:19" x14ac:dyDescent="0.2">
      <c r="B107" s="76" t="str">
        <f>'Parameters List'!B107</f>
        <v>Folding (Blind) Velocity (m/s)</v>
      </c>
      <c r="C107" s="77">
        <f>1000*$C$106/$C$168</f>
        <v>4979.9411627906975</v>
      </c>
      <c r="F107" s="43"/>
      <c r="G107" s="43"/>
      <c r="H107" s="43"/>
      <c r="I107" s="43"/>
      <c r="J107" s="43"/>
      <c r="K107" s="43"/>
      <c r="L107" s="43"/>
      <c r="M107" s="43"/>
      <c r="N107" s="43"/>
      <c r="O107" s="43"/>
      <c r="P107" s="43"/>
      <c r="Q107" s="43"/>
      <c r="R107" s="43"/>
      <c r="S107" s="43"/>
    </row>
    <row r="108" spans="1:19" x14ac:dyDescent="0.2">
      <c r="B108" s="76" t="str">
        <f>'Parameters List'!B108</f>
        <v>Max Trk Vr STD for Res Vel Amb (m/s)</v>
      </c>
      <c r="C108" s="77">
        <f>$C$107/4</f>
        <v>1244.9852906976744</v>
      </c>
      <c r="F108" s="43"/>
      <c r="G108" s="43"/>
      <c r="H108" s="43"/>
      <c r="I108" s="43"/>
      <c r="J108" s="43"/>
      <c r="K108" s="43"/>
      <c r="L108" s="43"/>
      <c r="M108" s="43"/>
      <c r="N108" s="43"/>
      <c r="O108" s="43"/>
      <c r="P108" s="43"/>
      <c r="Q108" s="43"/>
      <c r="R108" s="43"/>
      <c r="S108" s="43"/>
    </row>
    <row r="109" spans="1:19" x14ac:dyDescent="0.2">
      <c r="B109" s="76" t="str">
        <f>'Parameters List'!B109</f>
        <v>Antenna 1 PA Duty cycle</v>
      </c>
      <c r="C109" s="77">
        <f>C$100*IF(C$27&gt;0,C$27,C$26)+D$100*IF(D$27&gt;0,D$27,D$26)</f>
        <v>4.651162790697675E-2</v>
      </c>
      <c r="F109" s="43"/>
      <c r="G109" s="43"/>
      <c r="H109" s="43"/>
      <c r="I109" s="43"/>
      <c r="J109" s="43"/>
      <c r="K109" s="43"/>
      <c r="L109" s="43"/>
      <c r="M109" s="43"/>
      <c r="N109" s="43"/>
      <c r="O109" s="43"/>
      <c r="P109" s="43"/>
      <c r="Q109" s="43"/>
      <c r="R109" s="43"/>
      <c r="S109" s="43"/>
    </row>
    <row r="110" spans="1:19" x14ac:dyDescent="0.2">
      <c r="B110" s="76" t="str">
        <f>'Parameters List'!B110</f>
        <v>Antenna 2 PA Duty cycle</v>
      </c>
      <c r="C110" s="77">
        <f>C$100*IF(C$28&gt;0,C$28,C$26)+D$100*IF(D$28&gt;0,D$28,D$26)</f>
        <v>4.651162790697675E-2</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'Parameters List'!B112</f>
        <v>Tgt RCS (m^2):</v>
      </c>
      <c r="C112" s="74">
        <f>C88</f>
        <v>5.0000000000000001E-3</v>
      </c>
      <c r="D112" s="74">
        <f>D88</f>
        <v>5.0000000000000001E-3</v>
      </c>
      <c r="F112" s="43"/>
      <c r="G112" s="43"/>
      <c r="H112" s="43"/>
      <c r="I112" s="43"/>
      <c r="J112" s="43"/>
      <c r="K112" s="43"/>
      <c r="L112" s="43"/>
      <c r="M112" s="43"/>
      <c r="N112" s="43"/>
      <c r="O112" s="43"/>
      <c r="P112" s="43"/>
      <c r="Q112" s="43"/>
      <c r="R112" s="43"/>
      <c r="S112" s="43"/>
    </row>
    <row r="113" spans="2:19" x14ac:dyDescent="0.2">
      <c r="B113" s="78" t="str">
        <f>'Parameters List'!B113</f>
        <v>SNR @ Range (m):</v>
      </c>
      <c r="C113" s="74">
        <f>C44</f>
        <v>1139.2320946</v>
      </c>
      <c r="D113" s="74">
        <f>D44</f>
        <v>1483.9726671000001</v>
      </c>
    </row>
    <row r="114" spans="2:19" x14ac:dyDescent="0.2">
      <c r="B114" s="79" t="str">
        <f>'Parameters List'!B114</f>
        <v>Tgt @ADCin (dBm) - Ref. Rx</v>
      </c>
      <c r="C114" s="70">
        <f>$C$185+$C$186+$C$188+10*LOG10(C$112)+$C$189-$C$190-40*LOG10(C$113)+$C$171-C$84-C$85-$C$179*(C$80=1)</f>
        <v>-68.340354030065441</v>
      </c>
      <c r="D114" s="70">
        <f>$C$185+$C$186+$C$188+10*LOG10(D$112)+$C$189-$C$190-40*LOG10(D$113)+$C$171-D$84-D$85-$C$179*(D$80=1)</f>
        <v>-72.932901645814809</v>
      </c>
    </row>
    <row r="115" spans="2:19" x14ac:dyDescent="0.2">
      <c r="B115" s="95" t="str">
        <f>'Parameters List'!B115</f>
        <v>Tgt @ADCin (dBm) - 1st Rx - no calib.</v>
      </c>
      <c r="C115" s="70">
        <f>C$114-($C$188+$C$171-C$84-C$85-$C$179*(C$80=1))+$C$187+$C$170-C$82-C$83-$C$177*(C$80=1)</f>
        <v>-72.340354030065441</v>
      </c>
      <c r="D115" s="70">
        <f>D$114-($C$188+$C$171-D$84-D$85-$C$179*(D$80=1))+$C$187+$C$170-D$82-D$83-$C$177*(D$80=1)</f>
        <v>-66.932901645814809</v>
      </c>
      <c r="F115" s="43"/>
      <c r="G115" s="43"/>
      <c r="H115" s="43"/>
      <c r="I115" s="43"/>
      <c r="J115" s="43"/>
      <c r="K115" s="43"/>
      <c r="L115" s="43"/>
      <c r="M115" s="43"/>
      <c r="N115" s="43"/>
      <c r="O115" s="43"/>
      <c r="P115" s="43"/>
      <c r="Q115" s="43"/>
      <c r="R115" s="43"/>
      <c r="S115" s="43"/>
    </row>
    <row r="116" spans="2:19" x14ac:dyDescent="0.2">
      <c r="B116" s="95" t="str">
        <f>'Parameters List'!B116</f>
        <v>Tgt @ADCout (dBm) - 1st Rx</v>
      </c>
      <c r="C116" s="70">
        <f>C$114+20*LOG10($C$156/$C$157)-$C$177*(C$80=1)</f>
        <v>-48.340354030065441</v>
      </c>
      <c r="D116" s="70">
        <f>D$114+20*LOG10($C$156/$C$157)-$C$177*(D$80=1)</f>
        <v>-52.932901645814809</v>
      </c>
      <c r="F116" s="43"/>
      <c r="G116" s="43"/>
      <c r="H116" s="43"/>
      <c r="I116" s="43"/>
      <c r="J116" s="43"/>
      <c r="K116" s="43"/>
      <c r="L116" s="43"/>
      <c r="M116" s="43"/>
      <c r="N116" s="43"/>
      <c r="O116" s="43"/>
      <c r="P116" s="43"/>
      <c r="Q116" s="43"/>
      <c r="R116" s="43"/>
      <c r="S116" s="43"/>
    </row>
    <row r="117" spans="2:19" x14ac:dyDescent="0.2">
      <c r="B117" s="95" t="str">
        <f>'Parameters List'!B117</f>
        <v>Tgt @ADCout (dBm)</v>
      </c>
      <c r="C117" s="70">
        <f>20*LOG10(10^(C$114/20)+($C$155-1)*10^(C$116/20))+ (20*LOG10(C$34) - 2 * C$35) * (C$34&gt;1)</f>
        <v>-36.084676895670732</v>
      </c>
      <c r="D117" s="70">
        <f>20*LOG10(10^(D$114/20)+($C$155-1)*10^(D$116/20))+ (20*LOG10(D$34) - 2 * D$35) * (D$34&gt;1)</f>
        <v>-40.677224511420107</v>
      </c>
      <c r="G117" s="43"/>
      <c r="H117" s="43"/>
      <c r="I117" s="43"/>
      <c r="J117" s="43"/>
      <c r="K117" s="43"/>
      <c r="L117" s="43"/>
      <c r="M117" s="43"/>
      <c r="N117" s="43"/>
      <c r="O117" s="43"/>
      <c r="P117" s="43"/>
      <c r="Q117" s="43"/>
      <c r="R117" s="43"/>
      <c r="S117" s="43"/>
    </row>
    <row r="118" spans="2:19" x14ac:dyDescent="0.2">
      <c r="B118" s="79" t="str">
        <f>'Parameters List'!B118</f>
        <v>SNR (dB)</v>
      </c>
      <c r="C118" s="70">
        <f>C117-C$94-C$97+C$95</f>
        <v>39.122106917881368</v>
      </c>
      <c r="D118" s="70">
        <f>D117-D$94-D$97+D$95</f>
        <v>34.25221079907363</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'Parameters List'!B120</f>
        <v>Probability of Detection @ SNR (dB):</v>
      </c>
      <c r="C120" s="64">
        <v>15</v>
      </c>
      <c r="D120" s="64">
        <v>18</v>
      </c>
    </row>
    <row r="121" spans="2:19" x14ac:dyDescent="0.2">
      <c r="B121" s="71" t="str">
        <f>'Parameters List'!B121</f>
        <v>SWERLING (0, I, II, III, IV)</v>
      </c>
      <c r="C121" s="64">
        <v>1</v>
      </c>
      <c r="D121" s="64">
        <v>0</v>
      </c>
    </row>
    <row r="122" spans="2:19" x14ac:dyDescent="0.2">
      <c r="B122" s="79" t="str">
        <f>'Parameters List'!B122</f>
        <v>Probability of Detection</v>
      </c>
      <c r="C122" s="70">
        <f>pf_PD_PFA_CFAR("pd", C$74, C$120, C$121, C$68*2, 1)</f>
        <v>0.6181820390905115</v>
      </c>
      <c r="D122" s="70">
        <f>pf_PD_PFA_CFAR("pd", D$74, D$120, D$121, D$68*2, 1)</f>
        <v>0.99883597995544693</v>
      </c>
    </row>
    <row r="123" spans="2:19" x14ac:dyDescent="0.2">
      <c r="B123" s="71" t="str">
        <f>'Parameters List'!B123</f>
        <v>Pd for at least N of M detections (N,M)</v>
      </c>
      <c r="C123" s="105" t="s">
        <v>386</v>
      </c>
      <c r="D123" s="105" t="s">
        <v>386</v>
      </c>
    </row>
    <row r="124" spans="2:19" x14ac:dyDescent="0.2">
      <c r="B124" s="79" t="str">
        <f>'Parameters List'!B124</f>
        <v>Probability of Detection</v>
      </c>
      <c r="C124" s="70">
        <f>pf_PD_N_OUTOF_M(C$122, LEFT(C$123,FIND(",",C$123,1) - 1), MID(C$123,FIND(",",C$123,1)+1,100))</f>
        <v>0.92619322925372272</v>
      </c>
      <c r="D124" s="70">
        <f>pf_PD_N_OUTOF_M(D$122, LEFT(D$123,FIND(",",D$123,1) - 1), MID(D$123,FIND(",",D$123,1)+1,100))</f>
        <v>0.99999999999082922</v>
      </c>
    </row>
    <row r="125" spans="2:19" x14ac:dyDescent="0.2">
      <c r="B125" s="75"/>
    </row>
    <row r="126" spans="2:19" x14ac:dyDescent="0.2">
      <c r="B126" s="71" t="str">
        <f>'Parameters List'!B126</f>
        <v>Target Revisit Time (sec)</v>
      </c>
      <c r="C126" s="64">
        <v>0.05</v>
      </c>
      <c r="D126" s="64">
        <v>0.05</v>
      </c>
    </row>
    <row r="127" spans="2:19" x14ac:dyDescent="0.2">
      <c r="B127" s="68" t="str">
        <f>'Parameters List'!B127</f>
        <v>Acceleration Folding (m/s2)</v>
      </c>
      <c r="C127" s="67">
        <f>$C$107/C$126</f>
        <v>99598.823255813943</v>
      </c>
      <c r="D127" s="67">
        <f>$C$107/D$126</f>
        <v>99598.823255813943</v>
      </c>
    </row>
    <row r="128" spans="2:19" x14ac:dyDescent="0.2">
      <c r="B128" s="80" t="str">
        <f>'Parameters List'!B128</f>
        <v>Maximum Allowed Acceleration (m/s2)</v>
      </c>
      <c r="C128" s="70">
        <f>($C$107/4)/C$126</f>
        <v>24899.705813953486</v>
      </c>
      <c r="D128" s="70">
        <f>($C$107/4)/D$126</f>
        <v>24899.705813953486</v>
      </c>
    </row>
    <row r="129" spans="2:19" x14ac:dyDescent="0.2">
      <c r="B129" s="80" t="str">
        <f>'Parameters List'!B129</f>
        <v>Acceleration Ambiguity (m/s2)</v>
      </c>
      <c r="C129" s="70">
        <f>C$127-C$128</f>
        <v>74699.117441860464</v>
      </c>
      <c r="D129" s="70">
        <f>D$127-D$128</f>
        <v>74699.117441860464</v>
      </c>
    </row>
    <row r="130" spans="2:19" x14ac:dyDescent="0.2">
      <c r="B130" s="75"/>
    </row>
    <row r="131" spans="2:19" x14ac:dyDescent="0.2">
      <c r="B131" s="78" t="str">
        <f>'Parameters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'Parameters List'!B132</f>
        <v>SNR @ Range (m):</v>
      </c>
      <c r="C132" s="74">
        <f>$C$163*C$36 + C$41</f>
        <v>89.958491600000002</v>
      </c>
      <c r="D132" s="74">
        <f>$C$163*D$36 + D$41</f>
        <v>584.59529310000005</v>
      </c>
    </row>
    <row r="133" spans="2:19" x14ac:dyDescent="0.2">
      <c r="B133" s="79" t="str">
        <f>'Parameters List'!B133</f>
        <v>Tgt @ADCin (dBm) - Ref. Rx</v>
      </c>
      <c r="C133" s="70">
        <f>$C$185+$C$186+$C$188+10*LOG10(C$131)+$C$189-$C$190-40*LOG10(C$132)+$C$171-C$84-C$85-$C$179*(C$80=1)</f>
        <v>-21.227252202338207</v>
      </c>
      <c r="D133" s="70">
        <f>$C$185+$C$186+$C$188+10*LOG10(D$131)+$C$189-$C$190-40*LOG10(D$132)+$C$171-D$84-D$85-$C$179*(D$80=1)</f>
        <v>-43.739778186332956</v>
      </c>
    </row>
    <row r="134" spans="2:19" x14ac:dyDescent="0.2">
      <c r="B134" s="78" t="str">
        <f>'Parameters List'!B134</f>
        <v>Interferer @ Range (m)</v>
      </c>
      <c r="C134" s="74">
        <v>10000</v>
      </c>
      <c r="D134" s="74">
        <v>10000</v>
      </c>
    </row>
    <row r="135" spans="2:19" x14ac:dyDescent="0.2">
      <c r="B135" s="79" t="str">
        <f>'Parameters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'Parameters List'!B136</f>
        <v>Interferer @ ADCin (dBm) - 1st Rx</v>
      </c>
      <c r="C136" s="70">
        <f>C$135+20*LOG10($C$156/$C$157)-$C$177*(C$80=1)</f>
        <v>27.926533025505833</v>
      </c>
      <c r="D136" s="70">
        <f>$C$185+$C$186+$C$187-$C$166+$C$189-$C$190/3*2-20*LOG10(D$134)+$C$170-D$84-D$85-$C$177*(D$80=1)</f>
        <v>23.926533025505833</v>
      </c>
    </row>
    <row r="137" spans="2:19" x14ac:dyDescent="0.2">
      <c r="B137" s="81" t="str">
        <f>'Parameters List'!B137</f>
        <v>Ref. Rx Phase Noise @ADCin (dBm/bin)</v>
      </c>
      <c r="C137" s="67">
        <f>C$135+$C$165+10*LOG10(1/(C$30*10^-3))+10*LOG10($C$175*10^6/($C$106*10^3))</f>
        <v>-80.186766497532105</v>
      </c>
      <c r="D137" s="67">
        <f>D$135+$C$165+10*LOG10(1/(D$30*10^-3))+10*LOG10($C$175*10^6/($C$106*10^3))</f>
        <v>-68.657091895446669</v>
      </c>
    </row>
    <row r="138" spans="2:19" x14ac:dyDescent="0.2">
      <c r="B138" s="81" t="str">
        <f>'Parameters List'!B138</f>
        <v>Ref. Rx Phase Noise @ADCout (dBm/bin)</v>
      </c>
      <c r="C138" s="67">
        <f>C$137+C$95</f>
        <v>-32.061667234655296</v>
      </c>
      <c r="D138" s="67">
        <f>D$137+D$95</f>
        <v>-22.171621077669926</v>
      </c>
    </row>
    <row r="139" spans="2:19" x14ac:dyDescent="0.2">
      <c r="B139" s="81" t="str">
        <f>'Parameters List'!B139</f>
        <v>Ref. Rx Total Noise @ADCout (dBm/bin)</v>
      </c>
      <c r="C139" s="67">
        <f>10*LOG10(10 ^ (C$138 / 10) + 10 ^ (C$93 / 10))</f>
        <v>-31.906349167116943</v>
      </c>
      <c r="D139" s="67">
        <f>10*LOG10(10 ^ (D$138 / 10) + 10 ^ (D$93 / 10))</f>
        <v>-22.155432945098731</v>
      </c>
    </row>
    <row r="140" spans="2:19" x14ac:dyDescent="0.2">
      <c r="B140" s="81" t="str">
        <f>'Parameters List'!B140</f>
        <v>1st Rx Phase Noise @ADCout (dBm/bin)</v>
      </c>
      <c r="C140" s="67">
        <f>C$136+$C$165+10*LOG10(1/(C$30*10^-3))+10*LOG10($C$175*10^6/($C$106*10^3))+C$95</f>
        <v>-12.061667234655296</v>
      </c>
      <c r="D140" s="67">
        <f>D$136+$C$165+10*LOG10(1/(D$30*10^-3))+10*LOG10($C$175*10^6/($C$106*10^3))+D$95</f>
        <v>-6.1716210776699256</v>
      </c>
    </row>
    <row r="141" spans="2:19" x14ac:dyDescent="0.2">
      <c r="B141" s="81" t="str">
        <f>'Parameters List'!B141</f>
        <v>1st Rx Total Noise @ADCout (dBm/bin)</v>
      </c>
      <c r="C141" s="67">
        <f>10*LOG10(10 ^ (C$140 / 10) + 10 ^ (C$92 / 10))</f>
        <v>-12.038818188607491</v>
      </c>
      <c r="D141" s="67">
        <f>10*LOG10(10 ^ (D$140 / 10) + 10 ^ (D$92 / 10))</f>
        <v>-6.1673376422750081</v>
      </c>
    </row>
    <row r="142" spans="2:19" x14ac:dyDescent="0.2">
      <c r="B142" s="81" t="str">
        <f>'Parameters List'!B142</f>
        <v>Total Noise Power @ADCout (dBm/bin)</v>
      </c>
      <c r="C142" s="67">
        <f>10*LOG10((($C$155-1) * 10^(C$140/20) + 10^(C$138/20))^2*((C$34 - 10^(C$35/10))*(C$34&gt;1) + 1) ^ 2 + 10^(C$94/10))</f>
        <v>0.1995517710789575</v>
      </c>
      <c r="D142" s="67">
        <f>10*LOG10((($C$155-1) * 10^(D$140/20) + 10^(D$138/20))^2*((D$34 - 10^(D$35/10))*(D$34&gt;1) + 1) ^ 2 + 10^(D$94/10))</f>
        <v>6.2081054464318708</v>
      </c>
    </row>
    <row r="143" spans="2:19" x14ac:dyDescent="0.2">
      <c r="B143" s="79" t="str">
        <f>'Parameters List'!B143</f>
        <v>SNR (dB)</v>
      </c>
      <c r="C143" s="70">
        <f>IF(C$134&lt;=0, C$133+C$96-C$94, C$133+C$96 -C$142)-C$97</f>
        <v>57.291159381126498</v>
      </c>
      <c r="D143" s="70">
        <f>IF(D$134&lt;=0, D$133+D$96-D$94, D$133+D$96 -D$142)-D$97</f>
        <v>27.130431927175426</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'Parameters List'!B146</f>
        <v>Ref Rx Noise @ADCout (dBm/bin)</v>
      </c>
      <c r="C146" s="70">
        <f>C$93-C$95</f>
        <v>-94.574499349597176</v>
      </c>
      <c r="D146" s="83">
        <f>D$93-D$95</f>
        <v>-92.934870904497117</v>
      </c>
      <c r="F146" s="43"/>
      <c r="G146" s="43"/>
      <c r="H146" s="43"/>
      <c r="I146" s="43"/>
      <c r="J146" s="43"/>
      <c r="K146" s="43"/>
      <c r="L146" s="43"/>
      <c r="M146" s="43"/>
      <c r="N146" s="43"/>
      <c r="O146" s="43"/>
      <c r="P146" s="43"/>
      <c r="Q146" s="43"/>
      <c r="R146" s="43"/>
      <c r="S146" s="43"/>
    </row>
    <row r="147" spans="2:19" x14ac:dyDescent="0.2">
      <c r="B147" s="82" t="str">
        <f>'Parameters List'!B147</f>
        <v>1st Rx Noise @ADCout (dBm/bin)</v>
      </c>
      <c r="C147" s="70">
        <f>C$92-C$95</f>
        <v>-82.96449934959719</v>
      </c>
      <c r="D147" s="83">
        <f>D$92-D$95</f>
        <v>-82.714870904497118</v>
      </c>
    </row>
    <row r="148" spans="2:19" ht="15" thickBot="1" x14ac:dyDescent="0.25">
      <c r="B148" s="84" t="str">
        <f>'Parameters List'!B148</f>
        <v>Beam Total Noise @ADCout (dBm/bin)</v>
      </c>
      <c r="C148" s="85">
        <f>C$94-C$95 - (10*LOG10(C$34) - C$35) * (C$34&gt;1)</f>
        <v>-76.869596856279955</v>
      </c>
      <c r="D148" s="86">
        <f>D$94-D$95 - (10*LOG10(D$34) - D$35) * (D$34&gt;1)</f>
        <v>-76.592267702724925</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'Parameters List'!B151</f>
        <v>Ref Rx Noise @ADCout (dBm/bin)</v>
      </c>
      <c r="C151" s="70">
        <f>C$139-C$95</f>
        <v>-80.031448429993759</v>
      </c>
      <c r="D151" s="83">
        <f>D$139-D$95</f>
        <v>-68.640903762875467</v>
      </c>
      <c r="F151" s="43"/>
      <c r="G151" s="43"/>
      <c r="H151" s="43"/>
      <c r="I151" s="43"/>
      <c r="J151" s="43"/>
      <c r="K151" s="43"/>
      <c r="L151" s="43"/>
      <c r="M151" s="43"/>
      <c r="N151" s="43"/>
      <c r="O151" s="43"/>
      <c r="P151" s="43"/>
      <c r="Q151" s="43"/>
      <c r="R151" s="43"/>
      <c r="S151" s="43"/>
    </row>
    <row r="152" spans="2:19" x14ac:dyDescent="0.2">
      <c r="B152" s="82" t="str">
        <f>'Parameters List'!B152</f>
        <v>1st Rx Noise @ADCout (dBm/bin)</v>
      </c>
      <c r="C152" s="70">
        <f>C$141-C$95</f>
        <v>-60.163917451484302</v>
      </c>
      <c r="D152" s="83">
        <f>D$141-D$95</f>
        <v>-52.652808460051752</v>
      </c>
    </row>
    <row r="153" spans="2:19" ht="15" thickBot="1" x14ac:dyDescent="0.25">
      <c r="B153" s="84" t="str">
        <f>'Parameters List'!B153</f>
        <v>Beam Total Noise @ADCout (dBm/bin)</v>
      </c>
      <c r="C153" s="85">
        <f>10*LOG10(10 ^ ((C$137 + C$96 - (20*LOG10(C$34) - 2*C$35) * (C$34&gt;1))/ 10) + 10 ^ ((C$94 - (10*LOG10(C$34) - C$35) * (C$34&gt;1)) / 10)) - C$95</f>
        <v>-47.92554749179785</v>
      </c>
      <c r="D153" s="86">
        <f>10*LOG10(10 ^ ((D$137 + D$96 - (20*LOG10(D$34) - 2*D$35) * (D$34&gt;1))/ 10) + 10 ^ ((D$94 - (10*LOG10(D$34) - D$35) * (D$34&gt;1)) / 10)) - D$95</f>
        <v>-36.400999158470135</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'General System Parameters'!B9</f>
        <v># Rcvrs</v>
      </c>
      <c r="C155" s="33">
        <f>'General System Parameters'!C9</f>
        <v>5</v>
      </c>
      <c r="F155" s="43"/>
      <c r="G155" s="43"/>
      <c r="H155" s="43"/>
      <c r="I155" s="43"/>
      <c r="J155" s="43"/>
      <c r="K155" s="43"/>
      <c r="L155" s="43"/>
      <c r="M155" s="43"/>
      <c r="N155" s="43"/>
      <c r="O155" s="43"/>
      <c r="P155" s="43"/>
      <c r="Q155" s="43"/>
      <c r="R155" s="43"/>
      <c r="S155" s="43"/>
    </row>
    <row r="156" spans="2:19" x14ac:dyDescent="0.2">
      <c r="B156" s="32" t="str">
        <f>'General System Parameters'!B10</f>
        <v># Patches in 1st Rx</v>
      </c>
      <c r="C156" s="33">
        <f>'General System Parameters'!C10</f>
        <v>10</v>
      </c>
      <c r="F156" s="43"/>
      <c r="G156" s="43"/>
      <c r="H156" s="43"/>
      <c r="I156" s="43"/>
      <c r="J156" s="43"/>
      <c r="K156" s="43"/>
      <c r="L156" s="43"/>
      <c r="M156" s="43"/>
      <c r="N156" s="43"/>
      <c r="O156" s="43"/>
      <c r="P156" s="43"/>
      <c r="Q156" s="43"/>
      <c r="R156" s="43"/>
      <c r="S156" s="43"/>
    </row>
    <row r="157" spans="2:19" x14ac:dyDescent="0.2">
      <c r="B157" s="32" t="str">
        <f>'General System Parameters'!B11</f>
        <v># Patches in Ref (Guard) Rx</v>
      </c>
      <c r="C157" s="33">
        <f>'General System Parameters'!C11</f>
        <v>1</v>
      </c>
      <c r="F157" s="43"/>
      <c r="G157" s="43"/>
      <c r="H157" s="43"/>
      <c r="I157" s="43"/>
      <c r="J157" s="43"/>
      <c r="K157" s="43"/>
      <c r="L157" s="43"/>
      <c r="M157" s="43"/>
      <c r="N157" s="43"/>
      <c r="O157" s="43"/>
      <c r="P157" s="43"/>
      <c r="Q157" s="43"/>
      <c r="R157" s="43"/>
      <c r="S157" s="43"/>
    </row>
    <row r="158" spans="2:19" x14ac:dyDescent="0.2">
      <c r="B158" s="32" t="str">
        <f>'General System Parameters'!B12</f>
        <v>Typical System Gain (dB) - 1st Rx</v>
      </c>
      <c r="C158" s="33">
        <f>'General System Parameters'!C12</f>
        <v>59.76</v>
      </c>
      <c r="F158" s="43"/>
      <c r="G158" s="43"/>
      <c r="H158" s="43"/>
      <c r="I158" s="43"/>
      <c r="J158" s="43"/>
      <c r="K158" s="43"/>
      <c r="L158" s="43"/>
      <c r="M158" s="43"/>
      <c r="N158" s="43"/>
      <c r="O158" s="43"/>
      <c r="P158" s="43"/>
      <c r="Q158" s="43"/>
      <c r="R158" s="43"/>
      <c r="S158" s="43"/>
    </row>
    <row r="159" spans="2:19" x14ac:dyDescent="0.2">
      <c r="B159" s="32" t="str">
        <f>'General System Parameters'!B13</f>
        <v>Typical System Gain (dB) - Ref (Guard) Rx</v>
      </c>
      <c r="C159" s="33">
        <f>'General System Parameters'!C13</f>
        <v>54.1</v>
      </c>
      <c r="F159" s="43"/>
      <c r="G159" s="43"/>
      <c r="H159" s="43"/>
      <c r="I159" s="43"/>
      <c r="J159" s="43"/>
      <c r="K159" s="43"/>
      <c r="L159" s="43"/>
      <c r="M159" s="43"/>
      <c r="N159" s="43"/>
      <c r="O159" s="43"/>
      <c r="P159" s="43"/>
      <c r="Q159" s="43"/>
      <c r="R159" s="43"/>
      <c r="S159" s="43"/>
    </row>
    <row r="160" spans="2:19" x14ac:dyDescent="0.2">
      <c r="B160" s="32" t="str">
        <f>'General System Parameters'!B14</f>
        <v>Typical 1st Rx Calibration (dB)</v>
      </c>
      <c r="C160" s="33">
        <f>'General System Parameters'!C14</f>
        <v>4.3400000000000105</v>
      </c>
      <c r="F160" s="43"/>
      <c r="G160" s="43"/>
      <c r="H160" s="43"/>
      <c r="I160" s="43"/>
      <c r="J160" s="43"/>
      <c r="K160" s="43"/>
      <c r="L160" s="43"/>
      <c r="M160" s="43"/>
      <c r="N160" s="43"/>
      <c r="O160" s="43"/>
      <c r="P160" s="43"/>
      <c r="Q160" s="43"/>
      <c r="R160" s="43"/>
      <c r="S160" s="43"/>
    </row>
    <row r="161" spans="2:19" x14ac:dyDescent="0.2">
      <c r="B161" s="32" t="str">
        <f>'General System Parameters'!B15</f>
        <v>System Propagation Delay (us)</v>
      </c>
      <c r="C161" s="33">
        <f>'General System Parameters'!C15</f>
        <v>0.15</v>
      </c>
      <c r="F161" s="43"/>
      <c r="G161" s="43"/>
      <c r="H161" s="43"/>
      <c r="I161" s="43"/>
      <c r="J161" s="43"/>
      <c r="K161" s="43"/>
      <c r="L161" s="43"/>
      <c r="M161" s="43"/>
      <c r="N161" s="43"/>
      <c r="O161" s="43"/>
      <c r="P161" s="43"/>
      <c r="Q161" s="43"/>
      <c r="R161" s="43"/>
      <c r="S161" s="43"/>
    </row>
    <row r="162" spans="2:19" x14ac:dyDescent="0.2">
      <c r="B162" s="32" t="str">
        <f>'General System Parameters'!B16</f>
        <v>c (m/s)</v>
      </c>
      <c r="C162" s="33">
        <f>'General System Parameters'!C16</f>
        <v>299792458</v>
      </c>
      <c r="F162" s="43"/>
      <c r="G162" s="43"/>
      <c r="H162" s="43"/>
      <c r="I162" s="43"/>
      <c r="J162" s="43"/>
      <c r="K162" s="43"/>
      <c r="L162" s="43"/>
      <c r="M162" s="43"/>
      <c r="N162" s="43"/>
      <c r="O162" s="43"/>
      <c r="P162" s="43"/>
      <c r="Q162" s="43"/>
      <c r="R162" s="43"/>
      <c r="S162" s="43"/>
    </row>
    <row r="163" spans="2:19" x14ac:dyDescent="0.2">
      <c r="B163" s="32" t="str">
        <f>'General System Parameters'!B17</f>
        <v>c/2 (m/μs)</v>
      </c>
      <c r="C163" s="33">
        <f>'General System Parameters'!C17</f>
        <v>149.89622900000001</v>
      </c>
      <c r="F163" s="43"/>
      <c r="G163" s="43"/>
      <c r="H163" s="43"/>
      <c r="I163" s="43"/>
      <c r="J163" s="43"/>
      <c r="K163" s="43"/>
      <c r="L163" s="43"/>
      <c r="M163" s="43"/>
      <c r="N163" s="43"/>
      <c r="O163" s="43"/>
      <c r="P163" s="43"/>
      <c r="Q163" s="43"/>
      <c r="R163" s="43"/>
      <c r="S163" s="43"/>
    </row>
    <row r="164" spans="2:19" x14ac:dyDescent="0.2">
      <c r="B164" s="30" t="str">
        <f>'General System Parameters'!B18</f>
        <v>Freq (GHz)</v>
      </c>
      <c r="C164" s="31">
        <f>'General System Parameters'!C18</f>
        <v>3.5</v>
      </c>
      <c r="F164" s="43"/>
      <c r="G164" s="43"/>
      <c r="H164" s="43"/>
      <c r="I164" s="43"/>
      <c r="J164" s="43"/>
      <c r="K164" s="43"/>
      <c r="L164" s="43"/>
      <c r="M164" s="43"/>
      <c r="N164" s="43"/>
      <c r="O164" s="43"/>
      <c r="P164" s="43"/>
      <c r="Q164" s="43"/>
      <c r="R164" s="43"/>
      <c r="S164" s="43"/>
    </row>
    <row r="165" spans="2:19" x14ac:dyDescent="0.2">
      <c r="B165" s="30" t="str">
        <f>'General System Parameters'!B19</f>
        <v>Phase Noise Level (dBc/Hz)</v>
      </c>
      <c r="C165" s="31">
        <f>'General System Parameters'!C19</f>
        <v>-125</v>
      </c>
      <c r="F165" s="43"/>
      <c r="G165" s="43"/>
      <c r="H165" s="43"/>
      <c r="I165" s="43"/>
      <c r="J165" s="43"/>
      <c r="K165" s="43"/>
      <c r="L165" s="43"/>
      <c r="M165" s="43"/>
      <c r="N165" s="43"/>
      <c r="O165" s="43"/>
      <c r="P165" s="43"/>
      <c r="Q165" s="43"/>
      <c r="R165" s="43"/>
      <c r="S165" s="43"/>
    </row>
    <row r="166" spans="2:19" x14ac:dyDescent="0.2">
      <c r="B166" s="30" t="str">
        <f>'General System Parameters'!B20</f>
        <v>Polarization Loss (dB)</v>
      </c>
      <c r="C166" s="31">
        <f>'General System Parameters'!C20</f>
        <v>0</v>
      </c>
      <c r="F166" s="43"/>
      <c r="G166" s="43"/>
      <c r="H166" s="43"/>
      <c r="I166" s="43"/>
      <c r="J166" s="43"/>
      <c r="K166" s="43"/>
      <c r="L166" s="43"/>
      <c r="M166" s="43"/>
      <c r="N166" s="43"/>
      <c r="O166" s="43"/>
      <c r="P166" s="43"/>
      <c r="Q166" s="43"/>
      <c r="R166" s="43"/>
      <c r="S166" s="43"/>
    </row>
    <row r="167" spans="2:19" x14ac:dyDescent="0.2">
      <c r="B167" s="34" t="str">
        <f>'General System Parameters'!B21</f>
        <v>λ (m)</v>
      </c>
      <c r="C167" s="35">
        <f>'General System Parameters'!C21</f>
        <v>8.5654988000000001E-2</v>
      </c>
      <c r="F167" s="43"/>
      <c r="G167" s="43"/>
      <c r="H167" s="43"/>
      <c r="I167" s="43"/>
      <c r="J167" s="43"/>
      <c r="K167" s="43"/>
      <c r="L167" s="43"/>
      <c r="M167" s="43"/>
      <c r="N167" s="43"/>
      <c r="O167" s="43"/>
      <c r="P167" s="43"/>
      <c r="Q167" s="43"/>
      <c r="R167" s="43"/>
      <c r="S167" s="43"/>
    </row>
    <row r="168" spans="2:19" x14ac:dyDescent="0.2">
      <c r="B168" s="34" t="str">
        <f>'General System Parameters'!B22</f>
        <v>Doppler factor (Hz/(m/sec))</v>
      </c>
      <c r="C168" s="35">
        <f>'General System Parameters'!C22</f>
        <v>23.349486663870643</v>
      </c>
      <c r="F168" s="43"/>
      <c r="G168" s="43"/>
      <c r="H168" s="43"/>
      <c r="I168" s="43"/>
      <c r="J168" s="43"/>
      <c r="K168" s="43"/>
      <c r="L168" s="43"/>
      <c r="M168" s="43"/>
      <c r="N168" s="43"/>
      <c r="O168" s="43"/>
      <c r="P168" s="43"/>
      <c r="Q168" s="43"/>
      <c r="R168" s="43"/>
      <c r="S168" s="43"/>
    </row>
    <row r="169" spans="2:19" x14ac:dyDescent="0.2">
      <c r="B169" s="36" t="str">
        <f>'General System Parameters'!B23</f>
        <v>ALC</v>
      </c>
      <c r="C169" s="31">
        <f>'General System Parameters'!C23</f>
        <v>0</v>
      </c>
      <c r="F169" s="43"/>
      <c r="G169" s="43"/>
      <c r="H169" s="43"/>
      <c r="I169" s="43"/>
      <c r="J169" s="43"/>
      <c r="K169" s="43"/>
      <c r="L169" s="43"/>
      <c r="M169" s="43"/>
      <c r="N169" s="43"/>
      <c r="O169" s="43"/>
      <c r="P169" s="43"/>
      <c r="Q169" s="43"/>
      <c r="R169" s="43"/>
      <c r="S169" s="43"/>
    </row>
    <row r="170" spans="2:19" x14ac:dyDescent="0.2">
      <c r="B170" s="36" t="str">
        <f>'General System Parameters'!B24</f>
        <v>Actual System Gain (dB) - 1st Rx</v>
      </c>
      <c r="C170" s="31">
        <f>'General System Parameters'!C24</f>
        <v>60</v>
      </c>
      <c r="F170" s="43"/>
      <c r="G170" s="43"/>
      <c r="H170" s="43"/>
      <c r="I170" s="43"/>
      <c r="J170" s="43"/>
      <c r="K170" s="43"/>
      <c r="L170" s="43"/>
      <c r="M170" s="43"/>
      <c r="N170" s="43"/>
      <c r="O170" s="43"/>
      <c r="P170" s="43"/>
      <c r="Q170" s="43"/>
      <c r="R170" s="43"/>
      <c r="S170" s="43"/>
    </row>
    <row r="171" spans="2:19" x14ac:dyDescent="0.2">
      <c r="B171" s="36" t="str">
        <f>'General System Parameters'!B25</f>
        <v>Actual System Gain (dB) - Ref Rx</v>
      </c>
      <c r="C171" s="31">
        <f>'General System Parameters'!C25</f>
        <v>54</v>
      </c>
      <c r="F171" s="43"/>
      <c r="G171" s="43"/>
      <c r="H171" s="43"/>
      <c r="I171" s="43"/>
      <c r="J171" s="43"/>
      <c r="K171" s="43"/>
      <c r="L171" s="43"/>
      <c r="M171" s="43"/>
      <c r="N171" s="43"/>
      <c r="O171" s="43"/>
      <c r="P171" s="43"/>
      <c r="Q171" s="43"/>
      <c r="R171" s="43"/>
      <c r="S171" s="43"/>
    </row>
    <row r="172" spans="2:19" x14ac:dyDescent="0.2">
      <c r="B172" s="34" t="str">
        <f>'General System Parameters'!B26</f>
        <v>Actual 1st Rx Calibration (dB)</v>
      </c>
      <c r="C172" s="35">
        <f>'General System Parameters'!C26</f>
        <v>4</v>
      </c>
      <c r="F172" s="43"/>
      <c r="G172" s="43"/>
      <c r="H172" s="43"/>
      <c r="I172" s="43"/>
      <c r="J172" s="43"/>
      <c r="K172" s="43"/>
      <c r="L172" s="43"/>
      <c r="M172" s="43"/>
      <c r="N172" s="43"/>
      <c r="O172" s="43"/>
      <c r="P172" s="43"/>
      <c r="Q172" s="43"/>
      <c r="R172" s="43"/>
      <c r="S172" s="43"/>
    </row>
    <row r="173" spans="2:19" x14ac:dyDescent="0.2">
      <c r="B173" s="32" t="str">
        <f>'General System Parameters'!B27</f>
        <v>KT (dBm/Hz)</v>
      </c>
      <c r="C173" s="33">
        <f>'General System Parameters'!C27</f>
        <v>-174</v>
      </c>
      <c r="F173" s="43"/>
      <c r="G173" s="43"/>
      <c r="H173" s="43"/>
      <c r="I173" s="43"/>
      <c r="J173" s="43"/>
      <c r="K173" s="43"/>
      <c r="L173" s="43"/>
      <c r="M173" s="43"/>
      <c r="N173" s="43"/>
      <c r="O173" s="43"/>
      <c r="P173" s="43"/>
      <c r="Q173" s="43"/>
      <c r="R173" s="43"/>
      <c r="S173" s="43"/>
    </row>
    <row r="174" spans="2:19" x14ac:dyDescent="0.2">
      <c r="B174" s="32" t="str">
        <f>'General System Parameters'!B28</f>
        <v>Sample Period (us)</v>
      </c>
      <c r="C174" s="33">
        <f>'General System Parameters'!C28</f>
        <v>1.2500000000000001E-2</v>
      </c>
      <c r="F174" s="43"/>
      <c r="G174" s="43"/>
      <c r="H174" s="43"/>
      <c r="I174" s="43"/>
      <c r="J174" s="43"/>
      <c r="K174" s="43"/>
      <c r="L174" s="43"/>
      <c r="M174" s="43"/>
      <c r="N174" s="43"/>
      <c r="O174" s="43"/>
      <c r="P174" s="43"/>
      <c r="Q174" s="43"/>
      <c r="R174" s="43"/>
      <c r="S174" s="43"/>
    </row>
    <row r="175" spans="2:19" x14ac:dyDescent="0.2">
      <c r="B175" s="37" t="str">
        <f>'General System Parameters'!B29</f>
        <v>ADC Bandwidth (MHz)</v>
      </c>
      <c r="C175" s="35">
        <f>'General System Parameters'!C29</f>
        <v>40</v>
      </c>
      <c r="F175" s="43"/>
      <c r="G175" s="43"/>
      <c r="H175" s="43"/>
      <c r="I175" s="43"/>
      <c r="J175" s="43"/>
      <c r="K175" s="43"/>
      <c r="L175" s="43"/>
      <c r="M175" s="43"/>
      <c r="N175" s="43"/>
      <c r="O175" s="43"/>
      <c r="P175" s="43"/>
      <c r="Q175" s="43"/>
      <c r="R175" s="43"/>
      <c r="S175" s="43"/>
    </row>
    <row r="176" spans="2:19" x14ac:dyDescent="0.2">
      <c r="B176" s="32" t="str">
        <f>'General System Parameters'!B30</f>
        <v>ADC Noise Level (dBm)</v>
      </c>
      <c r="C176" s="33">
        <f>'General System Parameters'!C30</f>
        <v>-65</v>
      </c>
      <c r="F176" s="43"/>
      <c r="G176" s="43"/>
      <c r="H176" s="43"/>
      <c r="I176" s="43"/>
      <c r="J176" s="43"/>
      <c r="K176" s="43"/>
      <c r="L176" s="43"/>
      <c r="M176" s="43"/>
      <c r="N176" s="43"/>
      <c r="O176" s="43"/>
      <c r="P176" s="43"/>
      <c r="Q176" s="43"/>
      <c r="R176" s="43"/>
      <c r="S176" s="43"/>
    </row>
    <row r="177" spans="2:19" x14ac:dyDescent="0.2">
      <c r="B177" s="32" t="str">
        <f>'General System Parameters'!B31</f>
        <v>Tapering Signal Gain Loss (dB) - 1st Rx</v>
      </c>
      <c r="C177" s="33">
        <f>'General System Parameters'!C31</f>
        <v>3.51</v>
      </c>
      <c r="F177" s="43"/>
      <c r="G177" s="43"/>
      <c r="H177" s="43"/>
      <c r="I177" s="43"/>
      <c r="J177" s="43"/>
      <c r="K177" s="43"/>
      <c r="L177" s="43"/>
      <c r="M177" s="43"/>
      <c r="N177" s="43"/>
      <c r="O177" s="43"/>
      <c r="P177" s="43"/>
      <c r="Q177" s="43"/>
      <c r="R177" s="43"/>
      <c r="S177" s="43"/>
    </row>
    <row r="178" spans="2:19" x14ac:dyDescent="0.2">
      <c r="B178" s="32" t="str">
        <f>'General System Parameters'!B32</f>
        <v>Tapering Noise Gain Loss (dB) - 1st Rx</v>
      </c>
      <c r="C178" s="33">
        <f>'General System Parameters'!C32</f>
        <v>3.1337000000000002</v>
      </c>
      <c r="F178" s="43"/>
      <c r="G178" s="43"/>
      <c r="H178" s="43"/>
      <c r="I178" s="43"/>
      <c r="J178" s="43"/>
      <c r="K178" s="43"/>
      <c r="L178" s="43"/>
      <c r="M178" s="43"/>
      <c r="N178" s="43"/>
      <c r="O178" s="43"/>
      <c r="P178" s="43"/>
      <c r="Q178" s="43"/>
      <c r="R178" s="43"/>
      <c r="S178" s="43"/>
    </row>
    <row r="179" spans="2:19" x14ac:dyDescent="0.2">
      <c r="B179" s="32" t="str">
        <f>'General System Parameters'!B33</f>
        <v>Tapering Signal Gain Loss (dB) - Ref (Guard) Rx</v>
      </c>
      <c r="C179" s="33">
        <f>'General System Parameters'!C33</f>
        <v>0</v>
      </c>
      <c r="F179" s="43"/>
      <c r="G179" s="43"/>
      <c r="H179" s="43"/>
      <c r="I179" s="43"/>
      <c r="J179" s="43"/>
      <c r="K179" s="43"/>
      <c r="L179" s="43"/>
      <c r="M179" s="43"/>
      <c r="N179" s="43"/>
      <c r="O179" s="43"/>
      <c r="P179" s="43"/>
      <c r="Q179" s="43"/>
      <c r="R179" s="43"/>
      <c r="S179" s="43"/>
    </row>
    <row r="180" spans="2:19" x14ac:dyDescent="0.2">
      <c r="B180" s="32" t="str">
        <f>'General System Parameters'!B34</f>
        <v>Tapering Noise Gain Loss (dB) - Ref (Guard) Rx</v>
      </c>
      <c r="C180" s="33">
        <f>'General System Parameters'!C34</f>
        <v>0</v>
      </c>
      <c r="F180" s="43"/>
      <c r="G180" s="43"/>
      <c r="H180" s="43"/>
      <c r="I180" s="43"/>
      <c r="J180" s="43"/>
      <c r="K180" s="43"/>
      <c r="L180" s="43"/>
      <c r="M180" s="43"/>
      <c r="N180" s="43"/>
      <c r="O180" s="43"/>
      <c r="P180" s="43"/>
      <c r="Q180" s="43"/>
      <c r="R180" s="43"/>
      <c r="S180" s="43"/>
    </row>
    <row r="181" spans="2:19" x14ac:dyDescent="0.2">
      <c r="B181" s="37" t="str">
        <f>'General System Parameters'!B35</f>
        <v>Tapering Rx Loss (dB)</v>
      </c>
      <c r="C181" s="35">
        <f>'General System Parameters'!C35</f>
        <v>0.37629999999999963</v>
      </c>
      <c r="F181" s="43"/>
      <c r="G181" s="43"/>
      <c r="H181" s="43"/>
      <c r="I181" s="43"/>
      <c r="J181" s="43"/>
      <c r="K181" s="43"/>
      <c r="L181" s="43"/>
      <c r="M181" s="43"/>
      <c r="N181" s="43"/>
      <c r="O181" s="43"/>
      <c r="P181" s="43"/>
      <c r="Q181" s="43"/>
      <c r="R181" s="43"/>
      <c r="S181" s="43"/>
    </row>
    <row r="182" spans="2:19" x14ac:dyDescent="0.2">
      <c r="B182" s="30" t="str">
        <f>'General System Parameters'!B36</f>
        <v>Number of T/R modules</v>
      </c>
      <c r="C182" s="31">
        <f>'General System Parameters'!C36</f>
        <v>41</v>
      </c>
      <c r="F182" s="43"/>
      <c r="G182" s="43"/>
      <c r="H182" s="43"/>
      <c r="I182" s="43"/>
      <c r="J182" s="43"/>
      <c r="K182" s="43"/>
      <c r="L182" s="43"/>
      <c r="M182" s="43"/>
      <c r="N182" s="43"/>
      <c r="O182" s="43"/>
      <c r="P182" s="43"/>
      <c r="Q182" s="43"/>
      <c r="R182" s="43"/>
      <c r="S182" s="43"/>
    </row>
    <row r="183" spans="2:19" x14ac:dyDescent="0.2">
      <c r="B183" s="30" t="str">
        <f>'General System Parameters'!B37</f>
        <v>Power per T/R module</v>
      </c>
      <c r="C183" s="31">
        <f>'General System Parameters'!C37</f>
        <v>10</v>
      </c>
      <c r="F183" s="43"/>
      <c r="G183" s="43"/>
      <c r="H183" s="43"/>
      <c r="I183" s="43"/>
      <c r="J183" s="43"/>
      <c r="K183" s="43"/>
      <c r="L183" s="43"/>
      <c r="M183" s="43"/>
      <c r="N183" s="43"/>
      <c r="O183" s="43"/>
      <c r="P183" s="43"/>
      <c r="Q183" s="43"/>
      <c r="R183" s="43"/>
      <c r="S183" s="43"/>
    </row>
    <row r="184" spans="2:19" x14ac:dyDescent="0.2">
      <c r="B184" s="30" t="str">
        <f>'General System Parameters'!B38</f>
        <v>Gain per T/R module [dB]</v>
      </c>
      <c r="C184" s="31">
        <f>'General System Parameters'!C38</f>
        <v>5</v>
      </c>
      <c r="F184" s="43"/>
      <c r="G184" s="43"/>
      <c r="H184" s="43"/>
      <c r="I184" s="43"/>
      <c r="J184" s="43"/>
      <c r="K184" s="43"/>
      <c r="L184" s="43"/>
      <c r="M184" s="43"/>
      <c r="N184" s="43"/>
      <c r="O184" s="43"/>
      <c r="P184" s="43"/>
      <c r="Q184" s="43"/>
      <c r="R184" s="43"/>
      <c r="S184" s="43"/>
    </row>
    <row r="185" spans="2:19" x14ac:dyDescent="0.2">
      <c r="B185" s="37" t="str">
        <f>'General System Parameters'!B39</f>
        <v>Available Power (dBm)</v>
      </c>
      <c r="C185" s="35">
        <f>'General System Parameters'!C39</f>
        <v>56.127838567197358</v>
      </c>
      <c r="F185" s="43"/>
      <c r="G185" s="43"/>
      <c r="H185" s="43"/>
      <c r="I185" s="43"/>
      <c r="J185" s="43"/>
      <c r="K185" s="43"/>
      <c r="L185" s="43"/>
      <c r="M185" s="43"/>
      <c r="N185" s="43"/>
      <c r="O185" s="43"/>
      <c r="P185" s="43"/>
      <c r="Q185" s="43"/>
      <c r="R185" s="43"/>
      <c r="S185" s="43"/>
    </row>
    <row r="186" spans="2:19" x14ac:dyDescent="0.2">
      <c r="B186" s="37" t="str">
        <f>'General System Parameters'!B40</f>
        <v>Gt,Gr</v>
      </c>
      <c r="C186" s="35">
        <f>'General System Parameters'!C40</f>
        <v>21.127838567197355</v>
      </c>
      <c r="F186" s="43"/>
      <c r="G186" s="43"/>
      <c r="H186" s="43"/>
      <c r="I186" s="43"/>
      <c r="J186" s="43"/>
      <c r="K186" s="43"/>
      <c r="L186" s="43"/>
      <c r="M186" s="43"/>
      <c r="N186" s="43"/>
      <c r="O186" s="43"/>
      <c r="P186" s="43"/>
      <c r="Q186" s="43"/>
      <c r="R186" s="43"/>
      <c r="S186" s="43"/>
    </row>
    <row r="187" spans="2:19" x14ac:dyDescent="0.2">
      <c r="B187" s="37" t="str">
        <f>'General System Parameters'!B41</f>
        <v>Gr - 1st Rx</v>
      </c>
      <c r="C187" s="35">
        <f>'General System Parameters'!C41</f>
        <v>15</v>
      </c>
      <c r="F187" s="43"/>
      <c r="G187" s="43"/>
      <c r="H187" s="43"/>
      <c r="I187" s="43"/>
      <c r="J187" s="43"/>
      <c r="K187" s="43"/>
      <c r="L187" s="43"/>
      <c r="M187" s="43"/>
      <c r="N187" s="43"/>
      <c r="O187" s="43"/>
      <c r="P187" s="43"/>
      <c r="Q187" s="43"/>
      <c r="R187" s="43"/>
      <c r="S187" s="43"/>
    </row>
    <row r="188" spans="2:19" x14ac:dyDescent="0.2">
      <c r="B188" s="37" t="str">
        <f>'General System Parameters'!B42</f>
        <v>Gr - Ref (Guard) Rx</v>
      </c>
      <c r="C188" s="35">
        <f>'General System Parameters'!C42</f>
        <v>5</v>
      </c>
      <c r="F188" s="43"/>
      <c r="G188" s="43"/>
      <c r="H188" s="43"/>
      <c r="I188" s="43"/>
      <c r="J188" s="43"/>
      <c r="K188" s="43"/>
      <c r="L188" s="43"/>
      <c r="M188" s="43"/>
      <c r="N188" s="43"/>
      <c r="O188" s="43"/>
      <c r="P188" s="43"/>
      <c r="Q188" s="43"/>
      <c r="R188" s="43"/>
      <c r="S188" s="43"/>
    </row>
    <row r="189" spans="2:19" x14ac:dyDescent="0.2">
      <c r="B189" s="37" t="str">
        <f>'General System Parameters'!B43</f>
        <v>λ2 (dB/m2)</v>
      </c>
      <c r="C189" s="35">
        <f>'General System Parameters'!C43</f>
        <v>-21.344946828446961</v>
      </c>
      <c r="F189" s="43"/>
      <c r="G189" s="43"/>
      <c r="H189" s="43"/>
      <c r="I189" s="43"/>
      <c r="J189" s="43"/>
      <c r="K189" s="43"/>
      <c r="L189" s="43"/>
      <c r="M189" s="43"/>
      <c r="N189" s="43"/>
      <c r="O189" s="43"/>
      <c r="P189" s="43"/>
      <c r="Q189" s="43"/>
      <c r="R189" s="43"/>
      <c r="S189" s="43"/>
    </row>
    <row r="190" spans="2:19" x14ac:dyDescent="0.2">
      <c r="B190" s="34" t="str">
        <f>'General System Parameters'!B44</f>
        <v>(4p)^3 (dB)</v>
      </c>
      <c r="C190" s="35">
        <f>'General System Parameters'!C44</f>
        <v>32.976295920662885</v>
      </c>
      <c r="F190" s="43"/>
      <c r="G190" s="43"/>
      <c r="H190" s="43"/>
      <c r="I190" s="43"/>
      <c r="J190" s="43"/>
      <c r="K190" s="43"/>
      <c r="L190" s="43"/>
      <c r="M190" s="43"/>
      <c r="N190" s="43"/>
      <c r="O190" s="43"/>
      <c r="P190" s="43"/>
      <c r="Q190" s="43"/>
      <c r="R190" s="43"/>
      <c r="S190" s="43"/>
    </row>
    <row r="191" spans="2:19" x14ac:dyDescent="0.2">
      <c r="B191" s="34" t="str">
        <f>'General System Parameters'!B45</f>
        <v>Miscellaneous Losses (dB)</v>
      </c>
      <c r="C191" s="35">
        <f>'General System Parameters'!C45</f>
        <v>0</v>
      </c>
      <c r="F191" s="43"/>
      <c r="G191" s="43"/>
      <c r="H191" s="43"/>
      <c r="I191" s="43"/>
      <c r="J191" s="43"/>
      <c r="K191" s="43"/>
      <c r="L191" s="43"/>
      <c r="M191" s="43"/>
      <c r="N191" s="43"/>
      <c r="O191" s="43"/>
      <c r="P191" s="43"/>
      <c r="Q191" s="43"/>
      <c r="R191" s="43"/>
      <c r="S191" s="43"/>
    </row>
    <row r="192" spans="2:19" x14ac:dyDescent="0.2">
      <c r="B192" s="36" t="str">
        <f>'General System Parameters'!B46</f>
        <v>FFT Window: BH</v>
      </c>
      <c r="C192" s="31" t="str">
        <f>'General System Parameters'!C46</f>
        <v>BH</v>
      </c>
      <c r="F192" s="43"/>
      <c r="G192" s="43"/>
      <c r="H192" s="43"/>
      <c r="I192" s="43"/>
      <c r="J192" s="43"/>
      <c r="K192" s="43"/>
      <c r="L192" s="43"/>
      <c r="M192" s="43"/>
      <c r="N192" s="43"/>
      <c r="O192" s="43"/>
      <c r="P192" s="43"/>
      <c r="Q192" s="43"/>
      <c r="R192" s="43"/>
      <c r="S192" s="43"/>
    </row>
    <row r="193" spans="2:19" x14ac:dyDescent="0.2">
      <c r="B193" s="34" t="str">
        <f>'General System Parameters'!B47</f>
        <v>Signal Gain Loss (dB)</v>
      </c>
      <c r="C193" s="35">
        <f>'General System Parameters'!C47</f>
        <v>8.9499999999999993</v>
      </c>
      <c r="F193" s="43"/>
      <c r="G193" s="43"/>
      <c r="H193" s="43"/>
      <c r="I193" s="43"/>
      <c r="J193" s="43"/>
      <c r="K193" s="43"/>
      <c r="L193" s="43"/>
      <c r="M193" s="43"/>
      <c r="N193" s="43"/>
      <c r="O193" s="43"/>
      <c r="P193" s="43"/>
      <c r="Q193" s="43"/>
      <c r="R193" s="43"/>
      <c r="S193" s="43"/>
    </row>
    <row r="194" spans="2:19" x14ac:dyDescent="0.2">
      <c r="B194" s="34" t="str">
        <f>'General System Parameters'!B48</f>
        <v>Noise Gain Loss (dB)</v>
      </c>
      <c r="C194" s="35">
        <f>'General System Parameters'!C48</f>
        <v>5.9</v>
      </c>
      <c r="F194" s="43"/>
      <c r="G194" s="43"/>
      <c r="H194" s="43"/>
      <c r="I194" s="43"/>
      <c r="J194" s="43"/>
      <c r="K194" s="43"/>
      <c r="L194" s="43"/>
      <c r="M194" s="43"/>
      <c r="N194" s="43"/>
      <c r="O194" s="43"/>
      <c r="P194" s="43"/>
      <c r="Q194" s="43"/>
      <c r="R194" s="43"/>
      <c r="S194" s="43"/>
    </row>
    <row r="195" spans="2:19" x14ac:dyDescent="0.2">
      <c r="B195" s="34" t="str">
        <f>'General System Parameters'!B49</f>
        <v>Normalized ENBW (dB)</v>
      </c>
      <c r="C195" s="35">
        <f>'General System Parameters'!C49</f>
        <v>3.0499999999999989</v>
      </c>
      <c r="F195" s="43"/>
      <c r="G195" s="43"/>
      <c r="H195" s="43"/>
      <c r="I195" s="43"/>
      <c r="J195" s="43"/>
      <c r="K195" s="43"/>
      <c r="L195" s="43"/>
      <c r="M195" s="43"/>
      <c r="N195" s="43"/>
      <c r="O195" s="43"/>
      <c r="P195" s="43"/>
      <c r="Q195" s="43"/>
      <c r="R195" s="43"/>
      <c r="S195" s="43"/>
    </row>
    <row r="196" spans="2:19" x14ac:dyDescent="0.2">
      <c r="B196" s="34" t="str">
        <f>'General System Parameters'!B50</f>
        <v>Window 3dB BW (bins)</v>
      </c>
      <c r="C196" s="35">
        <f>'General System Parameters'!C50</f>
        <v>1.9</v>
      </c>
      <c r="F196" s="43"/>
      <c r="G196" s="43"/>
      <c r="H196" s="43"/>
      <c r="I196" s="43"/>
      <c r="J196" s="43"/>
      <c r="K196" s="43"/>
      <c r="L196" s="43"/>
      <c r="M196" s="43"/>
      <c r="N196" s="43"/>
      <c r="O196" s="43"/>
      <c r="P196" s="43"/>
      <c r="Q196" s="43"/>
      <c r="R196" s="43"/>
      <c r="S196" s="43"/>
    </row>
    <row r="197" spans="2:19" x14ac:dyDescent="0.2">
      <c r="B197" s="34" t="str">
        <f>'General System Parameters'!B51</f>
        <v>Window 6dB BW (bins)</v>
      </c>
      <c r="C197" s="35">
        <f>'General System Parameters'!C51</f>
        <v>2.72</v>
      </c>
      <c r="F197" s="43"/>
      <c r="G197" s="43"/>
      <c r="H197" s="43"/>
      <c r="I197" s="43"/>
      <c r="J197" s="43"/>
      <c r="K197" s="43"/>
      <c r="L197" s="43"/>
      <c r="M197" s="43"/>
      <c r="N197" s="43"/>
      <c r="O197" s="43"/>
      <c r="P197" s="43"/>
      <c r="Q197" s="43"/>
      <c r="R197" s="43"/>
      <c r="S197" s="43"/>
    </row>
    <row r="198" spans="2:19" x14ac:dyDescent="0.2">
      <c r="B198" s="34" t="str">
        <f>'General System Parameters'!B52</f>
        <v>Scallop Loss (dB)</v>
      </c>
      <c r="C198" s="35">
        <f>'General System Parameters'!C52</f>
        <v>0.41278500000000001</v>
      </c>
      <c r="F198" s="43"/>
      <c r="G198" s="43"/>
      <c r="H198" s="43"/>
      <c r="I198" s="43"/>
      <c r="J198" s="43"/>
      <c r="K198" s="43"/>
      <c r="L198" s="43"/>
      <c r="M198" s="43"/>
      <c r="N198" s="43"/>
      <c r="O198" s="43"/>
      <c r="P198" s="43"/>
      <c r="Q198" s="43"/>
      <c r="R198" s="43"/>
      <c r="S198" s="43"/>
    </row>
    <row r="199" spans="2:19" x14ac:dyDescent="0.2">
      <c r="B199" s="32" t="str">
        <f>'General System Parameters'!B53</f>
        <v>Rectangular 6dB BW (bins)</v>
      </c>
      <c r="C199" s="33">
        <f>'General System Parameters'!C53</f>
        <v>1.21</v>
      </c>
      <c r="F199" s="43"/>
      <c r="G199" s="43"/>
      <c r="H199" s="43"/>
      <c r="I199" s="43"/>
      <c r="J199" s="43"/>
      <c r="K199" s="43"/>
      <c r="L199" s="43"/>
      <c r="M199" s="43"/>
      <c r="N199" s="43"/>
      <c r="O199" s="43"/>
      <c r="P199" s="43"/>
      <c r="Q199" s="43"/>
      <c r="R199" s="43"/>
      <c r="S199" s="43"/>
    </row>
    <row r="200" spans="2:19" x14ac:dyDescent="0.2">
      <c r="B200" s="34" t="str">
        <f>'General System Parameters'!B54</f>
        <v>Window Peak Spreading (bins)</v>
      </c>
      <c r="C200" s="35">
        <f>'General System Parameters'!C54</f>
        <v>9</v>
      </c>
      <c r="F200" s="43"/>
      <c r="G200" s="43"/>
      <c r="H200" s="43"/>
      <c r="I200" s="43"/>
      <c r="J200" s="43"/>
      <c r="K200" s="43"/>
      <c r="L200" s="43"/>
      <c r="M200" s="43"/>
      <c r="N200" s="43"/>
      <c r="O200" s="43"/>
      <c r="P200" s="43"/>
      <c r="Q200" s="43"/>
      <c r="R200" s="43"/>
      <c r="S200" s="43"/>
    </row>
    <row r="201" spans="2:19" x14ac:dyDescent="0.2">
      <c r="B201" s="36" t="str">
        <f>'General System Parameters'!B55</f>
        <v>#samples for noise estimation</v>
      </c>
      <c r="C201" s="31">
        <f>'General System Parameters'!C55</f>
        <v>12</v>
      </c>
      <c r="F201" s="43"/>
      <c r="G201" s="43"/>
      <c r="H201" s="43"/>
      <c r="I201" s="43"/>
      <c r="J201" s="43"/>
      <c r="K201" s="43"/>
      <c r="L201" s="43"/>
      <c r="M201" s="43"/>
      <c r="N201" s="43"/>
      <c r="O201" s="43"/>
      <c r="P201" s="43"/>
      <c r="Q201" s="43"/>
      <c r="R201" s="43"/>
      <c r="S201" s="43"/>
    </row>
    <row r="202" spans="2:19" x14ac:dyDescent="0.2">
      <c r="B202" s="34" t="str">
        <f>'General System Parameters'!B56</f>
        <v>Straddling Loss (dB) - w/o OL</v>
      </c>
      <c r="C202" s="35">
        <f>'General System Parameters'!C56</f>
        <v>3</v>
      </c>
    </row>
    <row r="203" spans="2:19" x14ac:dyDescent="0.2">
      <c r="B203" s="34" t="str">
        <f>'General System Parameters'!B57</f>
        <v>Straddling Loss (dB) - with 50% OL</v>
      </c>
      <c r="C203" s="35">
        <f>'General System Parameters'!C57</f>
        <v>1.25</v>
      </c>
    </row>
    <row r="204" spans="2:19" x14ac:dyDescent="0.2">
      <c r="B204" s="30" t="str">
        <f>'General System Parameters'!B58</f>
        <v>Freq Desynchronization factor (ppb)</v>
      </c>
      <c r="C204" s="31">
        <f>'General System Parameters'!C58</f>
        <v>5</v>
      </c>
    </row>
    <row r="205" spans="2:19" x14ac:dyDescent="0.2">
      <c r="B205" s="34" t="str">
        <f>'General System Parameters'!B59</f>
        <v>Freq Desynchronization factor (Hz)</v>
      </c>
      <c r="C205" s="35">
        <f>'General System Parameters'!C59</f>
        <v>17.5</v>
      </c>
    </row>
    <row r="206" spans="2:19" x14ac:dyDescent="0.2">
      <c r="B206" s="34" t="str">
        <f>'General System Parameters'!B60</f>
        <v>Freq Desynchronization factor (m/s)</v>
      </c>
      <c r="C206" s="35">
        <f>'General System Parameters'!C60</f>
        <v>0.74948114500000007</v>
      </c>
    </row>
    <row r="207" spans="2:19" x14ac:dyDescent="0.2">
      <c r="B207" s="30" t="str">
        <f>'General System Parameters'!B61</f>
        <v>Time Desynchronization factor (ppm)</v>
      </c>
      <c r="C207" s="31">
        <f>'General System Parameters'!C61</f>
        <v>0.2</v>
      </c>
    </row>
    <row r="208" spans="2:19" x14ac:dyDescent="0.2">
      <c r="B208" s="30" t="str">
        <f>'General System Parameters'!B62</f>
        <v>Synchronization window per seq (μs)</v>
      </c>
      <c r="C208" s="31">
        <f>'General System Parameters'!C62</f>
        <v>0.1</v>
      </c>
    </row>
    <row r="209" spans="2:3" x14ac:dyDescent="0.2">
      <c r="B209" s="117" t="str">
        <f>'General System Parameters'!B63</f>
        <v>#RG in Optimized Mode (one side)</v>
      </c>
      <c r="C209" s="118">
        <f>'General System Parameters'!C63</f>
        <v>7</v>
      </c>
    </row>
    <row r="210" spans="2:3" x14ac:dyDescent="0.2">
      <c r="B210" s="30" t="str">
        <f>'General System Parameters'!B64</f>
        <v>Total #RG in Optimized Mode</v>
      </c>
      <c r="C210" s="31">
        <f>'General System Parameters'!C64</f>
        <v>15</v>
      </c>
    </row>
  </sheetData>
  <mergeCells count="4">
    <mergeCell ref="B150:D150"/>
    <mergeCell ref="C1:D1"/>
    <mergeCell ref="E1:T1"/>
    <mergeCell ref="B145:D145"/>
  </mergeCells>
  <conditionalFormatting sqref="D61">
    <cfRule type="cellIs" dxfId="35" priority="8" operator="greaterThan">
      <formula>3</formula>
    </cfRule>
  </conditionalFormatting>
  <conditionalFormatting sqref="D59">
    <cfRule type="expression" dxfId="34" priority="4">
      <formula>AND(D$59 &gt; D$50, D$49&gt;1)</formula>
    </cfRule>
  </conditionalFormatting>
  <conditionalFormatting sqref="C61">
    <cfRule type="cellIs" dxfId="33" priority="3" operator="greaterThan">
      <formula>3</formula>
    </cfRule>
  </conditionalFormatting>
  <conditionalFormatting sqref="C49">
    <cfRule type="cellIs" dxfId="32" priority="2" operator="greaterThan">
      <formula>"2&amp;&amp;$C$57&gt;$C$58"</formula>
    </cfRule>
  </conditionalFormatting>
  <conditionalFormatting sqref="C59">
    <cfRule type="expression" dxfId="31" priority="1">
      <formula>AND($C$61 &gt; $C$52, $C$51&gt;1)</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Z210"/>
  <sheetViews>
    <sheetView topLeftCell="A13" workbookViewId="0">
      <selection activeCell="I113" sqref="I113"/>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34" t="str">
        <f>'Parameters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'Parameters List'!B4</f>
        <v>Antenna Number (1 or 2)</v>
      </c>
      <c r="C4" s="49"/>
      <c r="D4" s="49"/>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'Parameters List'!B5</f>
        <v>Steer Az (clockwise - positive)</v>
      </c>
      <c r="C5" s="49"/>
      <c r="D5" s="49"/>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'Parameters List'!B6</f>
        <v>Steer El (up - positive)</v>
      </c>
      <c r="C6" s="49"/>
      <c r="D6" s="49"/>
      <c r="E6" s="50"/>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'Parameters List'!B9</f>
        <v>Antenna Number (1 or 2)</v>
      </c>
      <c r="C9" s="49"/>
      <c r="D9" s="49"/>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'Parameters List'!B10</f>
        <v>Steer Az (clockwise - positive)</v>
      </c>
      <c r="C10" s="49"/>
      <c r="D10" s="49"/>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'Parameters List'!B11</f>
        <v>Steer El (up - positive)</v>
      </c>
      <c r="C11" s="49"/>
      <c r="D11" s="49"/>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'Parameters List'!B13</f>
        <v>Processing Channel Number (1 or 2)</v>
      </c>
      <c r="C13" s="49"/>
      <c r="D13" s="49"/>
      <c r="E13" s="33">
        <v>1</v>
      </c>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'Parameters List'!B14</f>
        <v>Beam type (relative to processing channel)</v>
      </c>
      <c r="C14" s="49"/>
      <c r="D14" s="49"/>
      <c r="E14" s="33">
        <v>1</v>
      </c>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'Parameters List'!B15</f>
        <v>Stagger number (1 or 2)</v>
      </c>
      <c r="C15" s="58"/>
      <c r="D15" s="58"/>
      <c r="E15" s="33">
        <v>1</v>
      </c>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'Parameters List'!B16</f>
        <v>Receiving Patch Group (1 or 2)</v>
      </c>
      <c r="C16" s="58"/>
      <c r="D16" s="58"/>
      <c r="E16" s="33">
        <v>1</v>
      </c>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'Parameters List'!B17</f>
        <v>Tracking (0 or 1)</v>
      </c>
      <c r="C17" s="58"/>
      <c r="D17" s="58"/>
      <c r="E17" s="33">
        <v>1</v>
      </c>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'Parameters List'!B18</f>
        <v>Stagger PRI Sequence (Chip Units)</v>
      </c>
      <c r="C18" s="58"/>
      <c r="D18" s="58"/>
      <c r="E18" s="123">
        <f t="shared" ref="E18:AJ18" si="0">IF(E$13=1, (E$14-1)*$C$31,IF(E$13=2,((E$14-1)*$D$31),""))</f>
        <v>0</v>
      </c>
      <c r="F18" s="123" t="str">
        <f t="shared" si="0"/>
        <v/>
      </c>
      <c r="G18" s="123" t="str">
        <f t="shared" si="0"/>
        <v/>
      </c>
      <c r="H18" s="123" t="str">
        <f t="shared" si="0"/>
        <v/>
      </c>
      <c r="I18" s="123" t="str">
        <f t="shared" si="0"/>
        <v/>
      </c>
      <c r="J18" s="123" t="str">
        <f t="shared" si="0"/>
        <v/>
      </c>
      <c r="K18" s="123" t="str">
        <f t="shared" si="0"/>
        <v/>
      </c>
      <c r="L18" s="123" t="str">
        <f t="shared" si="0"/>
        <v/>
      </c>
      <c r="M18" s="123" t="str">
        <f t="shared" si="0"/>
        <v/>
      </c>
      <c r="N18" s="123" t="str">
        <f t="shared" si="0"/>
        <v/>
      </c>
      <c r="O18" s="123" t="str">
        <f t="shared" si="0"/>
        <v/>
      </c>
      <c r="P18" s="123" t="str">
        <f t="shared" si="0"/>
        <v/>
      </c>
      <c r="Q18" s="123" t="str">
        <f t="shared" si="0"/>
        <v/>
      </c>
      <c r="R18" s="123" t="str">
        <f t="shared" si="0"/>
        <v/>
      </c>
      <c r="S18" s="123" t="str">
        <f t="shared" si="0"/>
        <v/>
      </c>
      <c r="T18" s="123" t="str">
        <f t="shared" si="0"/>
        <v/>
      </c>
      <c r="U18" s="123" t="str">
        <f t="shared" si="0"/>
        <v/>
      </c>
      <c r="V18" s="123" t="str">
        <f t="shared" si="0"/>
        <v/>
      </c>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CONCATENATE('XML File Parameters'!D2," XMLver",'XML File Parameters'!D3,".",'XML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'Parameters List'!B21</f>
        <v>Apply RG Optimization</v>
      </c>
      <c r="C21" s="64"/>
      <c r="D21" s="64"/>
      <c r="F21" s="43"/>
      <c r="G21" s="43"/>
      <c r="H21" s="43"/>
      <c r="I21" s="43"/>
      <c r="J21" s="43"/>
      <c r="K21" s="43"/>
      <c r="L21" s="43"/>
      <c r="M21" s="43"/>
      <c r="N21" s="43"/>
      <c r="O21" s="43"/>
      <c r="P21" s="43"/>
      <c r="Q21" s="43"/>
      <c r="R21" s="43"/>
      <c r="S21" s="43"/>
    </row>
    <row r="22" spans="1:78" x14ac:dyDescent="0.2">
      <c r="A22" s="91" t="s">
        <v>78</v>
      </c>
      <c r="B22" s="104" t="str">
        <f>'Parameters List'!B22</f>
        <v>Sequential Repetition</v>
      </c>
      <c r="C22" s="64">
        <v>1</v>
      </c>
      <c r="D22" s="64"/>
      <c r="F22" s="43"/>
      <c r="G22" s="43"/>
      <c r="H22" s="43"/>
      <c r="I22" s="43"/>
      <c r="J22" s="43"/>
      <c r="K22" s="43"/>
      <c r="L22" s="43"/>
      <c r="M22" s="43"/>
      <c r="N22" s="43"/>
      <c r="O22" s="43"/>
      <c r="P22" s="43"/>
      <c r="Q22" s="43"/>
      <c r="R22" s="43"/>
      <c r="S22" s="43"/>
    </row>
    <row r="23" spans="1:78" x14ac:dyDescent="0.2">
      <c r="A23" s="91" t="s">
        <v>78</v>
      </c>
      <c r="B23" s="104" t="str">
        <f>'Parameters List'!B23</f>
        <v>Max Dets to process</v>
      </c>
      <c r="C23" s="64">
        <v>256</v>
      </c>
      <c r="D23" s="64">
        <v>256</v>
      </c>
      <c r="E23" s="65"/>
      <c r="F23" s="43"/>
      <c r="G23" s="43"/>
      <c r="H23" s="43"/>
      <c r="I23" s="43"/>
      <c r="J23" s="43"/>
      <c r="K23" s="43"/>
      <c r="L23" s="43"/>
      <c r="M23" s="43"/>
      <c r="N23" s="43"/>
      <c r="O23" s="43"/>
      <c r="P23" s="43"/>
      <c r="Q23" s="43"/>
      <c r="R23" s="43"/>
      <c r="S23" s="43"/>
    </row>
    <row r="24" spans="1:78" x14ac:dyDescent="0.2">
      <c r="A24" s="91"/>
      <c r="B24" s="95" t="str">
        <f>'Parameters List'!B24</f>
        <v>Number of Steers</v>
      </c>
      <c r="C24" s="33">
        <f>COUNTIF(E$4:BP$4,"&gt;0")</f>
        <v>0</v>
      </c>
      <c r="D24" s="33">
        <f>COUNTIF(E$9:BP$9,"&gt;0")</f>
        <v>0</v>
      </c>
      <c r="E24" s="65"/>
      <c r="F24" s="43"/>
      <c r="G24" s="43"/>
      <c r="H24" s="43"/>
      <c r="I24" s="43"/>
      <c r="J24" s="43"/>
      <c r="K24" s="43"/>
      <c r="L24" s="43"/>
      <c r="M24" s="43"/>
      <c r="N24" s="43"/>
      <c r="O24" s="43"/>
      <c r="P24" s="43"/>
      <c r="Q24" s="43"/>
      <c r="R24" s="43"/>
      <c r="S24" s="43"/>
    </row>
    <row r="25" spans="1:78" x14ac:dyDescent="0.2">
      <c r="A25" s="91"/>
      <c r="B25" s="95" t="str">
        <f>'Parameters List'!B25</f>
        <v>Number of Beam Types</v>
      </c>
      <c r="C25" s="33">
        <f>COUNTIFS($E$13:$AJ$13,"=1",$E$15:$AJ$15,"=1")</f>
        <v>1</v>
      </c>
      <c r="D25" s="33">
        <f>COUNTIFS($E$13:$AJ$13,"=2",$E$15:$AJ$15,"=1")</f>
        <v>0</v>
      </c>
      <c r="E25" s="65"/>
      <c r="F25" s="43"/>
      <c r="G25" s="43"/>
      <c r="H25" s="43"/>
      <c r="I25" s="43"/>
      <c r="J25" s="43"/>
      <c r="K25" s="43"/>
      <c r="L25" s="43"/>
      <c r="M25" s="43"/>
      <c r="N25" s="43"/>
      <c r="O25" s="43"/>
      <c r="P25" s="43"/>
      <c r="Q25" s="43"/>
      <c r="R25" s="43"/>
      <c r="S25" s="43"/>
    </row>
    <row r="26" spans="1:78" x14ac:dyDescent="0.2">
      <c r="A26" s="91"/>
      <c r="B26" s="95" t="str">
        <f>'Parameters List'!B26</f>
        <v>Number of Beams</v>
      </c>
      <c r="C26" s="33">
        <f>COUNTIF($E$13:$AJ$13,"=1")</f>
        <v>1</v>
      </c>
      <c r="D26" s="33">
        <f>COUNTIF($E$13:$AJ$13,"=2")</f>
        <v>0</v>
      </c>
      <c r="E26" s="65"/>
      <c r="F26" s="43"/>
      <c r="G26" s="43"/>
      <c r="H26" s="43"/>
      <c r="I26" s="43"/>
      <c r="J26" s="43"/>
      <c r="K26" s="43"/>
      <c r="L26" s="43"/>
      <c r="M26" s="43"/>
      <c r="N26" s="43"/>
      <c r="O26" s="43"/>
      <c r="P26" s="43"/>
      <c r="Q26" s="43"/>
      <c r="R26" s="43"/>
      <c r="S26" s="43"/>
    </row>
    <row r="27" spans="1:78" x14ac:dyDescent="0.2">
      <c r="A27" s="91"/>
      <c r="B27" s="95" t="str">
        <f>'Parameters List'!B27</f>
        <v>Number of Beams at Antenna1</v>
      </c>
      <c r="C27" s="33">
        <f>IF(COUNTIF($E$4:$BP$4,"=1")&gt;=C$25,C$26,COUNTIF($E$4:$BP$4,"=1")*C$26/C$25)</f>
        <v>0</v>
      </c>
      <c r="D27" s="33">
        <f>IF(COUNTIF($E$9:$BP$9,"=1")&gt;=D$25,D$26,COUNTIF($E$9:$BP$9,"=1")*D$26/D$25)</f>
        <v>0</v>
      </c>
      <c r="E27" s="65"/>
      <c r="F27" s="43"/>
      <c r="G27" s="43"/>
      <c r="H27" s="43"/>
      <c r="I27" s="43"/>
      <c r="J27" s="43"/>
      <c r="K27" s="43"/>
      <c r="L27" s="43"/>
      <c r="M27" s="43"/>
      <c r="N27" s="43"/>
      <c r="O27" s="43"/>
      <c r="P27" s="43"/>
      <c r="Q27" s="43"/>
      <c r="R27" s="43"/>
      <c r="S27" s="43"/>
    </row>
    <row r="28" spans="1:78" x14ac:dyDescent="0.2">
      <c r="A28" s="91"/>
      <c r="B28" s="95" t="str">
        <f>'Parameters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'Parameters List'!B29</f>
        <v>Desired CPI (ms)</v>
      </c>
      <c r="C29" s="64">
        <v>84</v>
      </c>
      <c r="D29" s="64">
        <v>5</v>
      </c>
      <c r="G29" s="43"/>
      <c r="H29" s="43"/>
      <c r="I29" s="43"/>
      <c r="J29" s="43"/>
      <c r="K29" s="43"/>
      <c r="L29" s="43"/>
      <c r="M29" s="43"/>
      <c r="N29" s="43"/>
      <c r="O29" s="43"/>
      <c r="P29" s="43"/>
      <c r="Q29" s="43"/>
      <c r="R29" s="43"/>
      <c r="S29" s="43"/>
    </row>
    <row r="30" spans="1:78" x14ac:dyDescent="0.2">
      <c r="A30" s="91" t="s">
        <v>78</v>
      </c>
      <c r="B30" s="95" t="str">
        <f>'Parameters List'!B30</f>
        <v>Actual CPI (ms)</v>
      </c>
      <c r="C30" s="33">
        <f>(C$49*$C$104*C$51)/1000</f>
        <v>83.148800000000008</v>
      </c>
      <c r="D30" s="33">
        <f>(D$49*$C$104*D$51)/1000</f>
        <v>4.5472000000000001</v>
      </c>
      <c r="F30" s="43"/>
      <c r="G30" s="43"/>
      <c r="H30" s="43"/>
      <c r="I30" s="43"/>
      <c r="J30" s="43"/>
      <c r="K30" s="43"/>
      <c r="L30" s="43"/>
      <c r="M30" s="43"/>
      <c r="N30" s="43"/>
      <c r="O30" s="43"/>
      <c r="P30" s="43"/>
      <c r="Q30" s="43"/>
      <c r="R30" s="43"/>
      <c r="S30" s="43"/>
    </row>
    <row r="31" spans="1:78" x14ac:dyDescent="0.2">
      <c r="A31" s="91" t="s">
        <v>78</v>
      </c>
      <c r="B31" s="94" t="str">
        <f>'Parameters List'!B31</f>
        <v>Multi Stagger - PRI Ext (in Chip Units)</v>
      </c>
      <c r="C31" s="64">
        <v>0</v>
      </c>
      <c r="D31" s="64">
        <v>0</v>
      </c>
      <c r="E31" s="65"/>
      <c r="F31" s="119"/>
      <c r="G31" s="43"/>
      <c r="H31" s="43"/>
      <c r="I31" s="43"/>
      <c r="J31" s="43"/>
      <c r="K31" s="43"/>
      <c r="L31" s="43"/>
      <c r="M31" s="43"/>
      <c r="N31" s="43"/>
      <c r="O31" s="43"/>
      <c r="P31" s="43"/>
      <c r="Q31" s="43"/>
      <c r="R31" s="43"/>
      <c r="S31" s="43"/>
    </row>
    <row r="32" spans="1:78" x14ac:dyDescent="0.2">
      <c r="A32" s="91" t="s">
        <v>78</v>
      </c>
      <c r="B32" s="94" t="str">
        <f>'Parameters List'!B32</f>
        <v>Stagger1 PRI (µs)</v>
      </c>
      <c r="C32" s="64">
        <v>40.5</v>
      </c>
      <c r="D32" s="64">
        <v>14</v>
      </c>
      <c r="F32" s="43"/>
      <c r="G32" s="43"/>
      <c r="H32" s="43"/>
      <c r="I32" s="43"/>
      <c r="J32" s="43"/>
      <c r="K32" s="43"/>
      <c r="L32" s="43"/>
      <c r="M32" s="43"/>
      <c r="N32" s="43"/>
      <c r="O32" s="43"/>
      <c r="P32" s="43"/>
      <c r="Q32" s="43"/>
      <c r="R32" s="43"/>
      <c r="S32" s="43"/>
    </row>
    <row r="33" spans="1:19" x14ac:dyDescent="0.2">
      <c r="A33" s="91" t="s">
        <v>78</v>
      </c>
      <c r="B33" s="94" t="str">
        <f>'Parameters List'!B33</f>
        <v>Stagger2 PRI (µs)</v>
      </c>
      <c r="C33" s="64">
        <v>0</v>
      </c>
      <c r="D33" s="64">
        <v>0</v>
      </c>
      <c r="F33" s="43"/>
      <c r="G33" s="43"/>
      <c r="H33" s="43"/>
      <c r="I33" s="43"/>
      <c r="J33" s="43"/>
      <c r="K33" s="43"/>
      <c r="L33" s="43"/>
      <c r="M33" s="43"/>
      <c r="N33" s="43"/>
      <c r="O33" s="43"/>
      <c r="P33" s="43"/>
      <c r="Q33" s="43"/>
      <c r="R33" s="43"/>
      <c r="S33" s="43"/>
    </row>
    <row r="34" spans="1:19" x14ac:dyDescent="0.2">
      <c r="A34" s="91" t="s">
        <v>81</v>
      </c>
      <c r="B34" s="95" t="str">
        <f>'Parameters List'!B34</f>
        <v>Number of Staggers (1 or 2)</v>
      </c>
      <c r="C34" s="67">
        <f>1*(C$32&lt;&gt;0)+1*(C$33&lt;&gt;0)</f>
        <v>1</v>
      </c>
      <c r="D34" s="67">
        <f>1*(D$32&lt;&gt;0)+1*(D$33&lt;&gt;0)</f>
        <v>1</v>
      </c>
      <c r="F34" s="43"/>
      <c r="G34" s="43"/>
      <c r="H34" s="43"/>
      <c r="I34" s="43"/>
      <c r="J34" s="43"/>
      <c r="K34" s="43"/>
      <c r="L34" s="43"/>
      <c r="M34" s="43"/>
      <c r="N34" s="43"/>
      <c r="O34" s="43"/>
      <c r="P34" s="43"/>
      <c r="Q34" s="43"/>
      <c r="R34" s="43"/>
      <c r="S34" s="43"/>
    </row>
    <row r="35" spans="1:19" x14ac:dyDescent="0.2">
      <c r="A35" s="91"/>
      <c r="B35" s="94" t="str">
        <f>'Parameters List'!B35</f>
        <v>Stagger Loss (dB)</v>
      </c>
      <c r="C35" s="64">
        <v>0</v>
      </c>
      <c r="D35" s="64">
        <v>3.01</v>
      </c>
      <c r="F35" s="43"/>
      <c r="G35" s="43"/>
      <c r="H35" s="43"/>
      <c r="I35" s="43"/>
      <c r="J35" s="43"/>
      <c r="K35" s="43"/>
      <c r="L35" s="43"/>
      <c r="M35" s="43"/>
      <c r="N35" s="43"/>
      <c r="O35" s="43"/>
      <c r="P35" s="43"/>
      <c r="Q35" s="43"/>
      <c r="R35" s="43"/>
      <c r="S35" s="43"/>
    </row>
    <row r="36" spans="1:19" x14ac:dyDescent="0.2">
      <c r="A36" s="91" t="s">
        <v>78</v>
      </c>
      <c r="B36" s="95" t="str">
        <f>'Parameters List'!B36</f>
        <v>PW (µs)</v>
      </c>
      <c r="C36" s="33">
        <f>C$46*C$48*$C$174</f>
        <v>6.5</v>
      </c>
      <c r="D36" s="33">
        <f>D$46*D$48*$C$174</f>
        <v>3.9000000000000004</v>
      </c>
      <c r="F36" s="43"/>
      <c r="G36" s="43"/>
      <c r="H36" s="43"/>
      <c r="I36" s="43"/>
      <c r="J36" s="43"/>
      <c r="K36" s="43"/>
      <c r="L36" s="43"/>
      <c r="M36" s="43"/>
      <c r="N36" s="43"/>
      <c r="O36" s="43"/>
      <c r="P36" s="43"/>
      <c r="Q36" s="43"/>
      <c r="R36" s="43"/>
      <c r="S36" s="43"/>
    </row>
    <row r="37" spans="1:19" x14ac:dyDescent="0.2">
      <c r="A37" s="91" t="s">
        <v>78</v>
      </c>
      <c r="B37" s="95" t="str">
        <f>'Parameters List'!B37</f>
        <v>Actual Bandwidth (MHz)</v>
      </c>
      <c r="C37" s="33">
        <f>2*C$48/(C$36*(2*(C$48=2)+1*(C$48&lt;&gt;2)))</f>
        <v>4</v>
      </c>
      <c r="D37" s="33">
        <f>2*D$48/(D$36*(2*(D$48=2)+1*(D$48&lt;&gt;2)))</f>
        <v>6.6666666666666661</v>
      </c>
      <c r="F37" s="43"/>
      <c r="G37" s="43"/>
      <c r="H37" s="43"/>
      <c r="I37" s="43"/>
      <c r="J37" s="43"/>
      <c r="K37" s="43"/>
      <c r="L37" s="43"/>
      <c r="M37" s="43"/>
      <c r="N37" s="43"/>
      <c r="O37" s="43"/>
      <c r="P37" s="43"/>
      <c r="Q37" s="43"/>
      <c r="R37" s="43"/>
      <c r="S37" s="43"/>
    </row>
    <row r="38" spans="1:19" x14ac:dyDescent="0.2">
      <c r="A38" s="91" t="s">
        <v>81</v>
      </c>
      <c r="B38" s="95" t="str">
        <f>'Parameters List'!B38</f>
        <v>Range Resolution (m)</v>
      </c>
      <c r="C38" s="67">
        <f>$C$163*C$36 /C$48*(2*(C$48=2)+1*(C$48&lt;&gt;2))</f>
        <v>74.948114500000003</v>
      </c>
      <c r="D38" s="67">
        <f>$C$163*D$36 /D$48*(2*(D$48=2)+1*(D$48&lt;&gt;2))</f>
        <v>44.968868700000002</v>
      </c>
      <c r="F38" s="43"/>
      <c r="G38" s="43"/>
      <c r="H38" s="43"/>
      <c r="I38" s="43"/>
      <c r="J38" s="43"/>
      <c r="K38" s="43"/>
      <c r="L38" s="43"/>
      <c r="M38" s="43"/>
      <c r="N38" s="43"/>
      <c r="O38" s="43"/>
      <c r="P38" s="43"/>
      <c r="Q38" s="43"/>
      <c r="R38" s="43"/>
      <c r="S38" s="43"/>
    </row>
    <row r="39" spans="1:19" x14ac:dyDescent="0.2">
      <c r="A39" s="91" t="s">
        <v>81</v>
      </c>
      <c r="B39" s="95" t="str">
        <f>'Parameters List'!B39</f>
        <v>Range Gate Width (m)</v>
      </c>
      <c r="C39" s="67">
        <f>C$38*(1*(C$47=0)+0.5*(C$47&lt;&gt;0))</f>
        <v>37.474057250000001</v>
      </c>
      <c r="D39" s="67">
        <f>D$38*(1*(D$47=0)+0.5*(D$47&lt;&gt;0))</f>
        <v>22.484434350000001</v>
      </c>
      <c r="F39" s="43"/>
      <c r="G39" s="43"/>
      <c r="H39" s="43"/>
      <c r="I39" s="43"/>
      <c r="J39" s="43"/>
      <c r="K39" s="43"/>
      <c r="L39" s="43"/>
      <c r="M39" s="43"/>
      <c r="N39" s="43"/>
      <c r="O39" s="43"/>
      <c r="P39" s="43"/>
      <c r="Q39" s="43"/>
      <c r="R39" s="43"/>
      <c r="S39" s="43"/>
    </row>
    <row r="40" spans="1:19" x14ac:dyDescent="0.2">
      <c r="A40" s="91" t="s">
        <v>78</v>
      </c>
      <c r="B40" s="94" t="str">
        <f>'Parameters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'Parameters List'!B41</f>
        <v>Min Range Offset (m)</v>
      </c>
      <c r="C41" s="64">
        <v>37</v>
      </c>
      <c r="D41" s="64">
        <v>0</v>
      </c>
      <c r="F41" s="43"/>
      <c r="G41" s="43"/>
      <c r="H41" s="43"/>
      <c r="I41" s="43"/>
      <c r="J41" s="43"/>
      <c r="K41" s="43"/>
      <c r="L41" s="43"/>
      <c r="M41" s="43"/>
      <c r="N41" s="43"/>
      <c r="O41" s="43"/>
      <c r="P41" s="43"/>
      <c r="Q41" s="43"/>
      <c r="R41" s="43"/>
      <c r="S41" s="43"/>
    </row>
    <row r="42" spans="1:19" x14ac:dyDescent="0.2">
      <c r="A42" s="91" t="s">
        <v>78</v>
      </c>
      <c r="B42" s="94" t="str">
        <f>'Parameters List'!B42</f>
        <v>Max Range Offset (m)</v>
      </c>
      <c r="C42" s="64">
        <v>37</v>
      </c>
      <c r="D42" s="64">
        <v>0</v>
      </c>
      <c r="F42" s="43"/>
      <c r="G42" s="43"/>
      <c r="H42" s="43"/>
      <c r="I42" s="43"/>
      <c r="J42" s="43"/>
      <c r="K42" s="43"/>
      <c r="L42" s="43"/>
      <c r="M42" s="43"/>
      <c r="N42" s="43"/>
      <c r="O42" s="43"/>
      <c r="P42" s="43"/>
      <c r="Q42" s="43"/>
      <c r="R42" s="43"/>
      <c r="S42" s="43"/>
    </row>
    <row r="43" spans="1:19" x14ac:dyDescent="0.2">
      <c r="A43" s="91" t="s">
        <v>78</v>
      </c>
      <c r="B43" s="95" t="str">
        <f>'Parameters List'!B43</f>
        <v>Min Range (m)</v>
      </c>
      <c r="C43" s="67">
        <f>$C$163*C$36 + C$41</f>
        <v>1011.3254885</v>
      </c>
      <c r="D43" s="67">
        <f>$C$163*D$36 + D$41</f>
        <v>584.59529310000005</v>
      </c>
      <c r="F43" s="43"/>
      <c r="G43" s="43"/>
      <c r="H43" s="43"/>
      <c r="I43" s="43"/>
      <c r="J43" s="43"/>
      <c r="K43" s="43"/>
      <c r="L43" s="43"/>
      <c r="M43" s="43"/>
      <c r="N43" s="43"/>
      <c r="O43" s="43"/>
      <c r="P43" s="43"/>
      <c r="Q43" s="43"/>
      <c r="R43" s="43"/>
      <c r="S43" s="43"/>
    </row>
    <row r="44" spans="1:19" x14ac:dyDescent="0.2">
      <c r="A44" s="91" t="s">
        <v>78</v>
      </c>
      <c r="B44" s="95" t="str">
        <f>'Parameters List'!B44</f>
        <v>Max Range (m)</v>
      </c>
      <c r="C44" s="67">
        <f>$C$163*((C$45-1)*C$46*$C$174/IF(C$48=2,IF(C$47=1,1,0.5),IF(C$47=1,2,1)))+C$43</f>
        <v>5021.0496142499996</v>
      </c>
      <c r="D44" s="67">
        <f>$C$163*((D$45-1)*D$46*$C$174/IF(D$48=2,IF(D$47=1,1,0.5),IF(D$47=1,2,1)))+D$43</f>
        <v>1483.9726671000001</v>
      </c>
      <c r="F44" s="43"/>
      <c r="G44" s="43"/>
      <c r="H44" s="43"/>
      <c r="I44" s="43"/>
      <c r="J44" s="43"/>
      <c r="K44" s="43"/>
      <c r="L44" s="43"/>
      <c r="M44" s="43"/>
      <c r="N44" s="43"/>
      <c r="O44" s="43"/>
      <c r="P44" s="43"/>
      <c r="Q44" s="43"/>
      <c r="R44" s="43"/>
      <c r="S44" s="43"/>
    </row>
    <row r="45" spans="1:19" x14ac:dyDescent="0.2">
      <c r="A45" s="91" t="s">
        <v>78</v>
      </c>
      <c r="B45" s="95" t="str">
        <f>'Parameters List'!B45</f>
        <v>NRG</v>
      </c>
      <c r="C45" s="33">
        <f>FLOOR((C$32-$C$161-2*C$36-(C$41+C$42)/$C$163)/(IF(C$48=2,IF(C$47=0,C$46*$C$174*2,C$46*$C$174),IF(C$47=0,C$46*$C$174,C$46*$C$174/2))),1)+1</f>
        <v>108</v>
      </c>
      <c r="D45" s="33">
        <f>FLOOR((D$32-$C$161-2*D$36-(D$41+D$42)/$C$163)/(IF(D$48=2,IF(D$47=0,D$46*$C$174*2,D$46*$C$174),IF(D$47=0,D$46*$C$174,D$46*$C$174/2))),1)+1</f>
        <v>41</v>
      </c>
      <c r="F45" s="43"/>
      <c r="G45" s="43"/>
      <c r="H45" s="43"/>
      <c r="I45" s="43"/>
      <c r="J45" s="43"/>
      <c r="K45" s="43"/>
      <c r="L45" s="43"/>
      <c r="M45" s="43"/>
      <c r="N45" s="43"/>
      <c r="O45" s="43"/>
      <c r="P45" s="43"/>
      <c r="Q45" s="43"/>
      <c r="R45" s="43"/>
      <c r="S45" s="43"/>
    </row>
    <row r="46" spans="1:19" x14ac:dyDescent="0.2">
      <c r="A46" s="91" t="s">
        <v>78</v>
      </c>
      <c r="B46" s="94" t="str">
        <f>'Parameters List'!B46</f>
        <v>TCHIP (even number)</v>
      </c>
      <c r="C46" s="64">
        <v>40</v>
      </c>
      <c r="D46" s="64">
        <v>24</v>
      </c>
      <c r="F46" s="43"/>
      <c r="G46" s="43"/>
      <c r="H46" s="43"/>
      <c r="I46" s="43"/>
      <c r="J46" s="43"/>
      <c r="K46" s="43"/>
      <c r="L46" s="43"/>
      <c r="M46" s="43"/>
      <c r="N46" s="43"/>
      <c r="O46" s="43"/>
      <c r="P46" s="43"/>
      <c r="Q46" s="43"/>
      <c r="R46" s="43"/>
      <c r="S46" s="43"/>
    </row>
    <row r="47" spans="1:19" x14ac:dyDescent="0.2">
      <c r="A47" s="91" t="s">
        <v>78</v>
      </c>
      <c r="B47" s="94" t="str">
        <f>'Parameters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'Parameters List'!B48</f>
        <v>NSERIES</v>
      </c>
      <c r="C48" s="64">
        <v>13</v>
      </c>
      <c r="D48" s="64">
        <v>13</v>
      </c>
      <c r="F48" s="43"/>
      <c r="G48" s="43"/>
      <c r="H48" s="43"/>
      <c r="I48" s="43"/>
      <c r="J48" s="43"/>
      <c r="K48" s="43"/>
      <c r="L48" s="43"/>
      <c r="M48" s="43"/>
      <c r="N48" s="43"/>
      <c r="O48" s="43"/>
      <c r="P48" s="43"/>
      <c r="Q48" s="43"/>
      <c r="R48" s="43"/>
      <c r="S48" s="43"/>
    </row>
    <row r="49" spans="1:19" x14ac:dyDescent="0.2">
      <c r="A49" s="91" t="s">
        <v>78</v>
      </c>
      <c r="B49" s="94" t="str">
        <f>'Parameters List'!B49</f>
        <v>POSTDEC</v>
      </c>
      <c r="C49" s="64">
        <v>4</v>
      </c>
      <c r="D49" s="64">
        <v>1</v>
      </c>
      <c r="F49" s="43"/>
      <c r="G49" s="43"/>
      <c r="H49" s="43"/>
      <c r="I49" s="43"/>
      <c r="J49" s="43"/>
      <c r="K49" s="43"/>
      <c r="L49" s="43"/>
      <c r="M49" s="43"/>
      <c r="N49" s="43"/>
      <c r="O49" s="43"/>
      <c r="P49" s="43"/>
      <c r="Q49" s="43"/>
      <c r="R49" s="43"/>
      <c r="S49" s="43"/>
    </row>
    <row r="50" spans="1:19" x14ac:dyDescent="0.2">
      <c r="A50" s="91"/>
      <c r="B50" s="80" t="str">
        <f>'Parameters List'!B50</f>
        <v>Max Abs Velocity Meas (m/s)</v>
      </c>
      <c r="C50" s="70">
        <f>1000000/($C$168*2*$C$104*C$49)</f>
        <v>131.85804802955664</v>
      </c>
      <c r="D50" s="70">
        <f>1000000/($C$168*2*$C$104*D$49)</f>
        <v>527.43219211822657</v>
      </c>
      <c r="F50" s="43"/>
      <c r="G50" s="43"/>
      <c r="H50" s="43"/>
      <c r="I50" s="43"/>
      <c r="J50" s="43"/>
      <c r="K50" s="43"/>
      <c r="L50" s="43"/>
      <c r="M50" s="43"/>
      <c r="N50" s="43"/>
      <c r="O50" s="43"/>
      <c r="P50" s="43"/>
      <c r="Q50" s="43"/>
      <c r="R50" s="43"/>
      <c r="S50" s="43"/>
    </row>
    <row r="51" spans="1:19" x14ac:dyDescent="0.2">
      <c r="A51" s="91" t="s">
        <v>78</v>
      </c>
      <c r="B51" s="95" t="str">
        <f>'Parameters List'!B51</f>
        <v>Npoints (up to FFT length)</v>
      </c>
      <c r="C51" s="33">
        <f>FLOOR((1000*C$29/$C$104/C$49),16)</f>
        <v>512</v>
      </c>
      <c r="D51" s="33">
        <f>FLOOR((1000*D$29/$C$104/D$49),16)</f>
        <v>112</v>
      </c>
      <c r="F51" s="43"/>
      <c r="G51" s="43"/>
      <c r="H51" s="43"/>
      <c r="I51" s="43"/>
      <c r="J51" s="43"/>
      <c r="K51" s="43"/>
      <c r="L51" s="43"/>
      <c r="M51" s="43"/>
      <c r="N51" s="43"/>
      <c r="O51" s="43"/>
      <c r="P51" s="43"/>
      <c r="Q51" s="43"/>
      <c r="R51" s="43"/>
      <c r="S51" s="43"/>
    </row>
    <row r="52" spans="1:19" x14ac:dyDescent="0.2">
      <c r="A52" s="91" t="s">
        <v>78</v>
      </c>
      <c r="B52" s="95" t="str">
        <f>'Parameters List'!B52</f>
        <v>FFT length (limited to 8192)</v>
      </c>
      <c r="C52" s="33">
        <f>2^CEILING(LOG10(C51)/LOG10(2),1)</f>
        <v>512</v>
      </c>
      <c r="D52" s="33">
        <f>2^CEILING(LOG10(D51)/LOG10(2),1)</f>
        <v>128</v>
      </c>
      <c r="F52" s="43"/>
      <c r="G52" s="43"/>
      <c r="H52" s="43"/>
      <c r="I52" s="43"/>
      <c r="J52" s="43"/>
      <c r="K52" s="43"/>
      <c r="L52" s="43"/>
      <c r="M52" s="43"/>
      <c r="N52" s="43"/>
      <c r="O52" s="43"/>
      <c r="P52" s="43"/>
      <c r="Q52" s="43"/>
      <c r="R52" s="43"/>
      <c r="S52" s="43"/>
    </row>
    <row r="53" spans="1:19" x14ac:dyDescent="0.2">
      <c r="A53" s="91"/>
      <c r="B53" s="95" t="str">
        <f>'Parameters List'!B53</f>
        <v>NCRG(per rcvr,limited to 512)</v>
      </c>
      <c r="C53" s="67">
        <f>C$45*C$26</f>
        <v>108</v>
      </c>
      <c r="D53" s="67">
        <f>D$45*D$26</f>
        <v>0</v>
      </c>
      <c r="F53" s="43"/>
      <c r="G53" s="43"/>
      <c r="H53" s="43"/>
      <c r="I53" s="43"/>
      <c r="J53" s="43"/>
      <c r="K53" s="43"/>
      <c r="L53" s="43"/>
      <c r="M53" s="43"/>
      <c r="N53" s="43"/>
      <c r="O53" s="43"/>
      <c r="P53" s="43"/>
      <c r="Q53" s="43"/>
      <c r="R53" s="43"/>
      <c r="S53" s="43"/>
    </row>
    <row r="54" spans="1:19" x14ac:dyDescent="0.2">
      <c r="A54" s="91"/>
      <c r="B54" s="95" t="str">
        <f>'Parameters List'!B54</f>
        <v>NCRG(all rcvrs)</v>
      </c>
      <c r="C54" s="67">
        <f>C$53*$C$155</f>
        <v>540</v>
      </c>
      <c r="D54" s="67">
        <f>D$53*$C$155</f>
        <v>0</v>
      </c>
      <c r="F54" s="43"/>
      <c r="G54" s="43"/>
      <c r="H54" s="43"/>
      <c r="I54" s="43"/>
      <c r="J54" s="43"/>
      <c r="K54" s="43"/>
      <c r="L54" s="43"/>
      <c r="M54" s="43"/>
      <c r="N54" s="43"/>
      <c r="O54" s="43"/>
      <c r="P54" s="43"/>
      <c r="Q54" s="43"/>
      <c r="R54" s="43"/>
      <c r="S54" s="43"/>
    </row>
    <row r="55" spans="1:19" x14ac:dyDescent="0.2">
      <c r="A55" s="91"/>
      <c r="B55" s="95" t="str">
        <f>'Parameters List'!B55</f>
        <v>TCHIP (m)</v>
      </c>
      <c r="C55" s="67">
        <f>C46*$C$163*$C$174</f>
        <v>74.948114500000003</v>
      </c>
      <c r="D55" s="67">
        <f>D46*$C$163*$C$174</f>
        <v>44.968868700000002</v>
      </c>
      <c r="F55" s="43"/>
      <c r="G55" s="43"/>
      <c r="H55" s="43"/>
      <c r="I55" s="43"/>
      <c r="J55" s="43"/>
      <c r="K55" s="43"/>
      <c r="L55" s="43"/>
      <c r="M55" s="43"/>
      <c r="N55" s="43"/>
      <c r="O55" s="43"/>
      <c r="P55" s="43"/>
      <c r="Q55" s="43"/>
      <c r="R55" s="43"/>
      <c r="S55" s="43"/>
    </row>
    <row r="56" spans="1:19" x14ac:dyDescent="0.2">
      <c r="A56" s="91"/>
      <c r="B56" s="94" t="str">
        <f>'Parameters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'Parameters List'!B57</f>
        <v>Clutter Margin (m/s)</v>
      </c>
      <c r="C57" s="67">
        <f>IF($C$206+C$56&gt;0,$C$206+C$56+C$67*C$65*1,0)</f>
        <v>3.3248336455772778</v>
      </c>
      <c r="D57" s="67">
        <f>IF($C$206+D$56&gt;0,$C$206+D$56+D$67*D$65*1,0)</f>
        <v>41.955121154236444</v>
      </c>
      <c r="F57" s="43"/>
      <c r="G57" s="43"/>
      <c r="H57" s="43"/>
      <c r="I57" s="43"/>
      <c r="J57" s="43"/>
      <c r="K57" s="43"/>
      <c r="L57" s="43"/>
      <c r="M57" s="43"/>
      <c r="N57" s="43"/>
      <c r="O57" s="43"/>
      <c r="P57" s="43"/>
      <c r="Q57" s="43"/>
      <c r="R57" s="43"/>
      <c r="S57" s="43"/>
    </row>
    <row r="58" spans="1:19" x14ac:dyDescent="0.2">
      <c r="A58" s="91" t="s">
        <v>78</v>
      </c>
      <c r="B58" s="94" t="str">
        <f>'Parameters List'!B58</f>
        <v>Min Velocity (m/s)</v>
      </c>
      <c r="C58" s="64">
        <v>0</v>
      </c>
      <c r="D58" s="64">
        <v>0</v>
      </c>
      <c r="F58" s="43"/>
      <c r="G58" s="43"/>
      <c r="H58" s="43"/>
      <c r="I58" s="43"/>
      <c r="J58" s="43"/>
      <c r="K58" s="43"/>
      <c r="L58" s="43"/>
      <c r="M58" s="43"/>
      <c r="N58" s="43"/>
      <c r="O58" s="43"/>
      <c r="P58" s="43"/>
      <c r="Q58" s="43"/>
      <c r="R58" s="43"/>
      <c r="S58" s="43"/>
    </row>
    <row r="59" spans="1:19" x14ac:dyDescent="0.2">
      <c r="A59" s="91" t="s">
        <v>81</v>
      </c>
      <c r="B59" s="94" t="str">
        <f>'Parameters List'!B59</f>
        <v>Max Velocity (m/s)</v>
      </c>
      <c r="C59" s="64">
        <v>125</v>
      </c>
      <c r="D59" s="64">
        <v>20</v>
      </c>
      <c r="F59" s="43"/>
      <c r="G59" s="43"/>
      <c r="H59" s="43"/>
      <c r="I59" s="43"/>
      <c r="J59" s="43"/>
      <c r="K59" s="43"/>
      <c r="L59" s="43"/>
      <c r="M59" s="43"/>
      <c r="N59" s="43"/>
      <c r="O59" s="43"/>
      <c r="P59" s="43"/>
      <c r="Q59" s="43"/>
      <c r="R59" s="43"/>
      <c r="S59" s="43"/>
    </row>
    <row r="60" spans="1:19" x14ac:dyDescent="0.2">
      <c r="A60" s="91"/>
      <c r="B60" s="68" t="str">
        <f>'Parameters List'!B60</f>
        <v>Loss Velocity (m/s)</v>
      </c>
      <c r="C60" s="67">
        <f>C$38*1000/C$30</f>
        <v>901.37337520204733</v>
      </c>
      <c r="D60" s="67">
        <f>D$38*1000/D$30</f>
        <v>9889.3536022167482</v>
      </c>
      <c r="F60" s="43"/>
      <c r="G60" s="43"/>
      <c r="H60" s="43"/>
      <c r="I60" s="43"/>
      <c r="J60" s="43"/>
      <c r="K60" s="43"/>
      <c r="L60" s="43"/>
      <c r="M60" s="43"/>
      <c r="N60" s="43"/>
      <c r="O60" s="43"/>
      <c r="P60" s="43"/>
      <c r="Q60" s="43"/>
      <c r="R60" s="43"/>
      <c r="S60" s="43"/>
    </row>
    <row r="61" spans="1:19" x14ac:dyDescent="0.2">
      <c r="A61" s="92"/>
      <c r="B61" s="68" t="str">
        <f>'Parameters List'!B61</f>
        <v>Velocity Loss (dB)</v>
      </c>
      <c r="C61" s="67">
        <f>IF(C$59&lt;C$60, 0, IF(C$47=1, IF(C$59&lt;2*C$60, (C$59 / C$60)*0.5*$C$203, 10), IF(C$47=0, IF(C$59&lt;2*C$60, (C$59 / C$60)*$C$202-$C$202/2, 10), 10)))+(-20*LOG10(ABS(SIN(PI()*C$59*$C$168*C$36*10^-6)/(PI()*C$59*$C$168*C$36*10^-6))))</f>
        <v>5.142989620135493E-3</v>
      </c>
      <c r="D61" s="67">
        <f>IF(D$59&lt;D$60, 0, IF(D$47=1, IF(D$59&lt;2*D$60, (D$59 / D$60)*0.5*$C$203, 10), IF(D$47=0, IF(D$59&lt;2*D$60, (D$59 / D$60)*$C$202-$C$202/2, 10), 10)))+(-20*LOG10(ABS(SIN(PI()*D$59*$C$168*D$36*10^-6)/(PI()*D$59*$C$168*D$36*10^-6))))</f>
        <v>4.7392231192217846E-5</v>
      </c>
    </row>
    <row r="62" spans="1:19" x14ac:dyDescent="0.2">
      <c r="A62" s="92"/>
      <c r="B62" s="71" t="str">
        <f>'Parameters List'!B62</f>
        <v>Max Acceleration (m/s2)</v>
      </c>
      <c r="C62" s="64">
        <v>5</v>
      </c>
      <c r="D62" s="64">
        <v>0</v>
      </c>
    </row>
    <row r="63" spans="1:19" x14ac:dyDescent="0.2">
      <c r="A63" s="91"/>
      <c r="B63" s="68" t="str">
        <f>'Parameters List'!B63</f>
        <v>Loss Acceleration (m/s2)</v>
      </c>
      <c r="C63" s="67">
        <f>C$65*1000/C$30*$C$196</f>
        <v>11.769670160235211</v>
      </c>
      <c r="D63" s="67">
        <f>D$65*1000/D$30*$C$196</f>
        <v>3443.4692125945307</v>
      </c>
      <c r="F63" s="43"/>
      <c r="G63" s="43"/>
      <c r="H63" s="43"/>
      <c r="I63" s="43"/>
      <c r="J63" s="43"/>
      <c r="K63" s="43"/>
      <c r="L63" s="43"/>
      <c r="M63" s="43"/>
      <c r="N63" s="43"/>
      <c r="O63" s="43"/>
      <c r="P63" s="43"/>
      <c r="Q63" s="43"/>
      <c r="R63" s="43"/>
      <c r="S63" s="43"/>
    </row>
    <row r="64" spans="1:19" x14ac:dyDescent="0.2">
      <c r="A64" s="92"/>
      <c r="B64" s="68" t="str">
        <f>'Parameters List'!B64</f>
        <v>Acceleration Loss (dB)</v>
      </c>
      <c r="C64" s="67">
        <f>IF( C$62 &gt;= C$63, C$62 / C$63 * $C$198, 0)</f>
        <v>0</v>
      </c>
      <c r="D64" s="67">
        <f>IF( D$62 &gt;= D$63, D$62 / D$63 * $C$198, 0)</f>
        <v>0</v>
      </c>
    </row>
    <row r="65" spans="1:19" x14ac:dyDescent="0.2">
      <c r="A65" s="91" t="s">
        <v>81</v>
      </c>
      <c r="B65" s="80" t="str">
        <f>'Parameters List'!B65</f>
        <v>fft2doppler (m/s per FFT bin)</v>
      </c>
      <c r="C65" s="70">
        <f>$C$106*1000/C$49/C$52/$C$168</f>
        <v>0.51507050011545563</v>
      </c>
      <c r="D65" s="70">
        <f>$C$106*1000/D$49/D$52/$C$168</f>
        <v>8.2411280018472901</v>
      </c>
      <c r="F65" s="43"/>
      <c r="G65" s="43"/>
      <c r="H65" s="43"/>
      <c r="I65" s="43"/>
      <c r="J65" s="43"/>
      <c r="K65" s="43"/>
      <c r="L65" s="43"/>
      <c r="M65" s="43"/>
      <c r="N65" s="43"/>
      <c r="O65" s="43"/>
      <c r="P65" s="43"/>
      <c r="Q65" s="43"/>
      <c r="R65" s="43"/>
      <c r="S65" s="43"/>
    </row>
    <row r="66" spans="1:19" x14ac:dyDescent="0.2">
      <c r="A66" s="91"/>
      <c r="B66" s="80" t="str">
        <f>'Parameters List'!B66</f>
        <v>Optimal Peak2Peak Seperation (m/s)</v>
      </c>
      <c r="C66" s="70">
        <f>(C$67+C$68+(C$67+1))*C$65</f>
        <v>11.846621502655479</v>
      </c>
      <c r="D66" s="70">
        <f>(D$67+D$68+(D$67+1))*D$65</f>
        <v>206.02820004618226</v>
      </c>
      <c r="F66" s="43"/>
      <c r="G66" s="43"/>
      <c r="H66" s="43"/>
      <c r="I66" s="43"/>
      <c r="J66" s="43"/>
      <c r="K66" s="43"/>
      <c r="L66" s="43"/>
      <c r="M66" s="43"/>
      <c r="N66" s="43"/>
      <c r="O66" s="43"/>
      <c r="P66" s="43"/>
      <c r="Q66" s="43"/>
      <c r="R66" s="43"/>
      <c r="S66" s="43"/>
    </row>
    <row r="67" spans="1:19" x14ac:dyDescent="0.2">
      <c r="A67" s="91"/>
      <c r="B67" s="95" t="str">
        <f>'Parameters List'!B67</f>
        <v># FFT bins of peak spreading (one side)</v>
      </c>
      <c r="C67" s="67">
        <f>ROUND((($C$200-1) / 2) * (C$52 / C$51) + (C$62*C$30/1000)/C$65,0)</f>
        <v>5</v>
      </c>
      <c r="D67" s="67">
        <f>ROUND((($C$200-1) / 2) * (D$52 / D$51) + (D$62*D$30/1000)/D$65,0)</f>
        <v>5</v>
      </c>
      <c r="F67" s="43"/>
      <c r="G67" s="43"/>
      <c r="H67" s="43"/>
      <c r="I67" s="43"/>
      <c r="J67" s="43"/>
      <c r="K67" s="43"/>
      <c r="L67" s="43"/>
      <c r="M67" s="43"/>
      <c r="N67" s="43"/>
      <c r="O67" s="43"/>
      <c r="P67" s="43"/>
      <c r="Q67" s="43"/>
      <c r="R67" s="43"/>
      <c r="S67" s="43"/>
    </row>
    <row r="68" spans="1:19" x14ac:dyDescent="0.2">
      <c r="A68" s="91"/>
      <c r="B68" s="95" t="str">
        <f>'Parameters List'!B68</f>
        <v># FFT bins for noise estimation (one side)</v>
      </c>
      <c r="C68" s="67">
        <f>ROUND((($C$201-1)/2*$C$197/$C$199)*(C$52/C$51),0)</f>
        <v>12</v>
      </c>
      <c r="D68" s="67">
        <f>ROUND((($C$201-1)/2*$C$197/$C$199)*(D$52/D$51),0)</f>
        <v>14</v>
      </c>
      <c r="F68" s="43"/>
      <c r="G68" s="43"/>
      <c r="H68" s="43"/>
      <c r="I68" s="43"/>
      <c r="J68" s="43"/>
      <c r="K68" s="43"/>
      <c r="L68" s="43"/>
      <c r="M68" s="43"/>
      <c r="N68" s="43"/>
      <c r="O68" s="43"/>
      <c r="P68" s="43"/>
      <c r="Q68" s="43"/>
      <c r="R68" s="43"/>
      <c r="S68" s="43"/>
    </row>
    <row r="69" spans="1:19" x14ac:dyDescent="0.2">
      <c r="A69" s="91"/>
      <c r="B69" s="95" t="str">
        <f>'Parameters List'!B69</f>
        <v># FFT bins of clutter margin (one side)</v>
      </c>
      <c r="C69" s="67">
        <f>C$57/C$65</f>
        <v>6.4551039999999995</v>
      </c>
      <c r="D69" s="67">
        <f>D$57/D$65</f>
        <v>5.0909439999999995</v>
      </c>
      <c r="F69" s="43"/>
      <c r="G69" s="43"/>
      <c r="H69" s="43"/>
      <c r="I69" s="43"/>
      <c r="J69" s="43"/>
      <c r="K69" s="43"/>
      <c r="L69" s="43"/>
      <c r="M69" s="43"/>
      <c r="N69" s="43"/>
      <c r="O69" s="43"/>
      <c r="P69" s="43"/>
      <c r="Q69" s="43"/>
      <c r="R69" s="43"/>
      <c r="S69" s="43"/>
    </row>
    <row r="70" spans="1:19" x14ac:dyDescent="0.2">
      <c r="A70" s="91"/>
      <c r="B70" s="95" t="str">
        <f>'Parameters List'!B70</f>
        <v># FFT bins to min velocity</v>
      </c>
      <c r="C70" s="67">
        <f>FLOOR(C$58/C$65,1)</f>
        <v>0</v>
      </c>
      <c r="D70" s="67">
        <f>FLOOR(D$58/D$65,1)</f>
        <v>0</v>
      </c>
      <c r="F70" s="43"/>
      <c r="G70" s="43"/>
      <c r="H70" s="43"/>
      <c r="I70" s="43"/>
      <c r="J70" s="43"/>
      <c r="K70" s="43"/>
      <c r="L70" s="43"/>
      <c r="M70" s="43"/>
      <c r="N70" s="43"/>
      <c r="O70" s="43"/>
      <c r="P70" s="43"/>
      <c r="Q70" s="43"/>
      <c r="R70" s="43"/>
      <c r="S70" s="43"/>
    </row>
    <row r="71" spans="1:19" x14ac:dyDescent="0.2">
      <c r="A71" s="91"/>
      <c r="B71" s="95" t="str">
        <f>'Parameters List'!B71</f>
        <v># FFT bins to max velocity</v>
      </c>
      <c r="C71" s="67">
        <f>CEILING(C$59/C$65,1)</f>
        <v>243</v>
      </c>
      <c r="D71" s="67">
        <f>CEILING(D$59/D$65,1)</f>
        <v>3</v>
      </c>
      <c r="F71" s="43"/>
      <c r="G71" s="43"/>
      <c r="H71" s="43"/>
      <c r="I71" s="43"/>
      <c r="J71" s="43"/>
      <c r="K71" s="43"/>
      <c r="L71" s="43"/>
      <c r="M71" s="43"/>
      <c r="N71" s="43"/>
      <c r="O71" s="43"/>
      <c r="P71" s="43"/>
      <c r="Q71" s="43"/>
      <c r="R71" s="43"/>
      <c r="S71" s="43"/>
    </row>
    <row r="72" spans="1:19" x14ac:dyDescent="0.2">
      <c r="A72" s="91" t="s">
        <v>81</v>
      </c>
      <c r="B72" s="95" t="str">
        <f>'Parameters List'!B72</f>
        <v>Noise Mask (example: '-13,-4,4,13)</v>
      </c>
      <c r="C72" s="67" t="str">
        <f>CONCATENATE(TEXT(-C$68-C$67,"0"),",",TEXT(-C$67-1,"0"),",",TEXT(C$67+1,"0"),",",TEXT(C$68+C$67,"0"))</f>
        <v>-17,-6,6,17</v>
      </c>
      <c r="D72" s="67" t="str">
        <f>CONCATENATE(TEXT(-D$68-D$67,"0"),",",TEXT(-D$67-1,"0"),",",TEXT(D$67+1,"0"),",",TEXT(D$68+D$67,"0"))</f>
        <v>-19,-6,6,19</v>
      </c>
      <c r="F72" s="43"/>
      <c r="G72" s="43"/>
      <c r="H72" s="43"/>
      <c r="I72" s="43"/>
      <c r="J72" s="43"/>
      <c r="K72" s="43"/>
      <c r="L72" s="43"/>
      <c r="M72" s="43"/>
      <c r="N72" s="43"/>
      <c r="O72" s="43"/>
      <c r="P72" s="43"/>
      <c r="Q72" s="43"/>
      <c r="R72" s="43"/>
      <c r="S72" s="43"/>
    </row>
    <row r="73" spans="1:19" x14ac:dyDescent="0.2">
      <c r="A73" s="91" t="s">
        <v>81</v>
      </c>
      <c r="B73" s="94" t="str">
        <f>'Parameters List'!B73</f>
        <v>Options (see Options List sheet)</v>
      </c>
      <c r="C73" s="101"/>
      <c r="D73" s="101" t="s">
        <v>86</v>
      </c>
      <c r="F73" s="43"/>
      <c r="G73" s="43"/>
      <c r="H73" s="43"/>
      <c r="I73" s="43"/>
      <c r="J73" s="43"/>
      <c r="K73" s="43"/>
      <c r="L73" s="43"/>
      <c r="M73" s="43"/>
      <c r="N73" s="43"/>
      <c r="O73" s="43"/>
      <c r="P73" s="43"/>
      <c r="Q73" s="43"/>
      <c r="R73" s="43"/>
      <c r="S73" s="43"/>
    </row>
    <row r="74" spans="1:19" x14ac:dyDescent="0.2">
      <c r="A74" s="91" t="s">
        <v>81</v>
      </c>
      <c r="B74" s="94" t="str">
        <f>'Parameters List'!B74</f>
        <v>SNR Threshold (dB)</v>
      </c>
      <c r="C74" s="73">
        <v>12</v>
      </c>
      <c r="D74" s="73">
        <v>14</v>
      </c>
      <c r="F74" s="43"/>
      <c r="G74" s="43"/>
      <c r="H74" s="43"/>
      <c r="I74" s="43"/>
      <c r="J74" s="43"/>
      <c r="K74" s="43"/>
      <c r="L74" s="43"/>
      <c r="M74" s="43"/>
      <c r="N74" s="43"/>
      <c r="O74" s="43"/>
      <c r="P74" s="43"/>
      <c r="Q74" s="43"/>
      <c r="R74" s="43"/>
      <c r="S74" s="43"/>
    </row>
    <row r="75" spans="1:19" x14ac:dyDescent="0.2">
      <c r="A75" s="91"/>
      <c r="B75" s="80" t="str">
        <f>'Parameters List'!B75</f>
        <v>Probability of False Alarm</v>
      </c>
      <c r="C75" s="70">
        <f>pf_PD_PFA_CFAR("pfa", C$74, C$120, C$121, C$68*2, 1)</f>
        <v>5.1888289024436828E-6</v>
      </c>
      <c r="D75" s="70">
        <f>pf_PD_PFA_CFAR("pfa", D$74, D$120, D$121, D$68*2, 1)</f>
        <v>1.6347788244607386E-8</v>
      </c>
      <c r="F75" s="43"/>
      <c r="G75" s="43"/>
      <c r="H75" s="43"/>
      <c r="I75" s="43"/>
      <c r="J75" s="43"/>
      <c r="K75" s="43"/>
      <c r="L75" s="43"/>
      <c r="M75" s="43"/>
      <c r="N75" s="43"/>
      <c r="O75" s="43"/>
      <c r="P75" s="43"/>
      <c r="Q75" s="43"/>
      <c r="R75" s="43"/>
      <c r="S75" s="43"/>
    </row>
    <row r="76" spans="1:19" x14ac:dyDescent="0.2">
      <c r="A76" s="91"/>
      <c r="B76" s="80" t="str">
        <f>'Parameters List'!B76</f>
        <v>Probability of False Alarm per CPI</v>
      </c>
      <c r="C76" s="70">
        <f>C$75*C$52*C$53</f>
        <v>0.28692148298952591</v>
      </c>
      <c r="D76" s="70">
        <f>D$75*D$52*D$53</f>
        <v>0</v>
      </c>
      <c r="F76" s="43"/>
      <c r="G76" s="43"/>
      <c r="H76" s="43"/>
      <c r="I76" s="43"/>
      <c r="J76" s="43"/>
      <c r="K76" s="43"/>
      <c r="L76" s="43"/>
      <c r="M76" s="43"/>
      <c r="N76" s="43"/>
      <c r="O76" s="43"/>
      <c r="P76" s="43"/>
      <c r="Q76" s="43"/>
      <c r="R76" s="43"/>
      <c r="S76" s="43"/>
    </row>
    <row r="77" spans="1:19" x14ac:dyDescent="0.2">
      <c r="A77" s="91"/>
      <c r="B77" s="80" t="str">
        <f>'Parameters List'!B77</f>
        <v>Probability of False Alarm per SEC</v>
      </c>
      <c r="C77" s="70">
        <f>C$76/(C$30/1000)</f>
        <v>3.450699023792597</v>
      </c>
      <c r="D77" s="70">
        <f>D$76/(D$30/1000)</f>
        <v>0</v>
      </c>
      <c r="F77" s="43"/>
      <c r="G77" s="43"/>
      <c r="H77" s="43"/>
      <c r="I77" s="43"/>
      <c r="J77" s="43"/>
      <c r="K77" s="43"/>
      <c r="L77" s="43"/>
      <c r="M77" s="43"/>
      <c r="N77" s="43"/>
      <c r="O77" s="43"/>
      <c r="P77" s="43"/>
      <c r="Q77" s="43"/>
      <c r="R77" s="43"/>
      <c r="S77" s="43"/>
    </row>
    <row r="78" spans="1:19" x14ac:dyDescent="0.2">
      <c r="A78" s="91"/>
      <c r="B78" s="94" t="str">
        <f>'Parameters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'Parameters List'!B79</f>
        <v>STC Init Range (m)</v>
      </c>
      <c r="C79" s="70">
        <f>10^((40*LOG10(C$44)-(C$78-C$99)) / 40)</f>
        <v>1370.8592068209268</v>
      </c>
      <c r="D79" s="70">
        <f>10^((40*LOG10(D$44)-(D$78-D$99)) / 40)</f>
        <v>530.79895190237971</v>
      </c>
      <c r="F79" s="43"/>
      <c r="G79" s="43"/>
      <c r="H79" s="43"/>
      <c r="I79" s="43"/>
      <c r="J79" s="43"/>
      <c r="K79" s="43"/>
      <c r="L79" s="43"/>
      <c r="M79" s="43"/>
      <c r="N79" s="43"/>
      <c r="O79" s="43"/>
      <c r="P79" s="43"/>
      <c r="Q79" s="43"/>
      <c r="R79" s="43"/>
      <c r="S79" s="43"/>
    </row>
    <row r="80" spans="1:19" x14ac:dyDescent="0.2">
      <c r="A80" s="91"/>
      <c r="B80" s="94" t="str">
        <f>'Parameters List'!B80</f>
        <v>Tapered Array (0/1)</v>
      </c>
      <c r="C80" s="101">
        <v>0</v>
      </c>
      <c r="D80" s="101">
        <v>0</v>
      </c>
      <c r="F80" s="43"/>
      <c r="G80" s="43"/>
      <c r="H80" s="43"/>
      <c r="I80" s="43"/>
      <c r="J80" s="43"/>
      <c r="K80" s="43"/>
      <c r="L80" s="43"/>
      <c r="M80" s="43"/>
      <c r="N80" s="43"/>
      <c r="O80" s="43"/>
      <c r="P80" s="43"/>
      <c r="Q80" s="43"/>
      <c r="R80" s="43"/>
      <c r="S80" s="43"/>
    </row>
    <row r="81" spans="1:19" x14ac:dyDescent="0.2">
      <c r="A81" s="91"/>
      <c r="B81" s="94" t="str">
        <f>'Parameters List'!B81</f>
        <v>AGC Set (1-6)</v>
      </c>
      <c r="C81" s="101">
        <v>3</v>
      </c>
      <c r="D81" s="101">
        <v>1</v>
      </c>
      <c r="F81" s="43"/>
      <c r="G81" s="43"/>
      <c r="H81" s="43"/>
      <c r="I81" s="43"/>
      <c r="J81" s="43"/>
      <c r="K81" s="43"/>
      <c r="L81" s="43"/>
      <c r="M81" s="43"/>
      <c r="N81" s="43"/>
      <c r="O81" s="43"/>
      <c r="P81" s="43"/>
      <c r="Q81" s="43"/>
      <c r="R81" s="43"/>
      <c r="S81" s="43"/>
    </row>
    <row r="82" spans="1:19" x14ac:dyDescent="0.2">
      <c r="A82" s="91"/>
      <c r="B82" s="95" t="str">
        <f>'Parameters List'!B82</f>
        <v>RF AGC (dB) - 1st Rx</v>
      </c>
      <c r="C82" s="67">
        <f>VLOOKUP(C$81,'AGC Set Table'!$A$3:$K$9,2,FALSE)</f>
        <v>0</v>
      </c>
      <c r="D82" s="67">
        <f>VLOOKUP(D$81,'AGC Set Table'!$A$3:$K$9,2,FALSE)</f>
        <v>0</v>
      </c>
      <c r="F82" s="43"/>
      <c r="G82" s="43"/>
      <c r="H82" s="43"/>
      <c r="I82" s="43"/>
      <c r="J82" s="43"/>
      <c r="K82" s="43"/>
      <c r="L82" s="43"/>
      <c r="M82" s="43"/>
      <c r="N82" s="43"/>
      <c r="O82" s="43"/>
      <c r="P82" s="43"/>
      <c r="Q82" s="43"/>
      <c r="R82" s="43"/>
      <c r="S82" s="43"/>
    </row>
    <row r="83" spans="1:19" x14ac:dyDescent="0.2">
      <c r="A83" s="91"/>
      <c r="B83" s="95" t="str">
        <f>'Parameters List'!B83</f>
        <v>IF AGC (dB) - 1st Rx</v>
      </c>
      <c r="C83" s="67">
        <f>VLOOKUP(C$81,'AGC Set Table'!$A$3:$K$9,3,FALSE)</f>
        <v>25</v>
      </c>
      <c r="D83" s="67">
        <f>VLOOKUP(D$81,'AGC Set Table'!$A$3:$K$9,3,FALSE)</f>
        <v>15</v>
      </c>
      <c r="F83" s="43"/>
      <c r="G83" s="43"/>
      <c r="H83" s="43"/>
      <c r="I83" s="43"/>
      <c r="J83" s="43"/>
      <c r="K83" s="43"/>
      <c r="L83" s="43"/>
      <c r="M83" s="43"/>
      <c r="N83" s="43"/>
      <c r="O83" s="43"/>
      <c r="P83" s="43"/>
      <c r="Q83" s="43"/>
      <c r="R83" s="43"/>
      <c r="S83" s="43"/>
    </row>
    <row r="84" spans="1:19" x14ac:dyDescent="0.2">
      <c r="A84" s="91"/>
      <c r="B84" s="95" t="str">
        <f>'Parameters List'!B84</f>
        <v>RF AGC (dB) - Ref Rx</v>
      </c>
      <c r="C84" s="67">
        <f>VLOOKUP(C$81,'AGC Set Table'!$A$3:$K$9,8,FALSE)</f>
        <v>0</v>
      </c>
      <c r="D84" s="67">
        <f>VLOOKUP(D$81,'AGC Set Table'!$A$3:$K$9,8,FALSE)</f>
        <v>0</v>
      </c>
      <c r="F84" s="43"/>
      <c r="G84" s="43"/>
      <c r="H84" s="43"/>
      <c r="I84" s="43"/>
      <c r="J84" s="43"/>
      <c r="K84" s="43"/>
      <c r="L84" s="43"/>
      <c r="M84" s="43"/>
      <c r="N84" s="43"/>
      <c r="O84" s="43"/>
      <c r="P84" s="43"/>
      <c r="Q84" s="43"/>
      <c r="R84" s="43"/>
      <c r="S84" s="43"/>
    </row>
    <row r="85" spans="1:19" x14ac:dyDescent="0.2">
      <c r="A85" s="91"/>
      <c r="B85" s="95" t="str">
        <f>'Parameters List'!B85</f>
        <v>IF AGC (dB) - Ref Rx</v>
      </c>
      <c r="C85" s="67">
        <f>VLOOKUP(C$81,'AGC Set Table'!$A$3:$K$9,9,FALSE)</f>
        <v>5</v>
      </c>
      <c r="D85" s="67">
        <f>VLOOKUP(D$81,'AGC Set Table'!$A$3:$K$9,9,FALSE)</f>
        <v>5</v>
      </c>
      <c r="F85" s="43"/>
      <c r="G85" s="43"/>
      <c r="H85" s="43"/>
      <c r="I85" s="43"/>
      <c r="J85" s="43"/>
      <c r="K85" s="43"/>
      <c r="L85" s="43"/>
      <c r="M85" s="43"/>
      <c r="N85" s="43"/>
      <c r="O85" s="43"/>
      <c r="P85" s="43"/>
      <c r="Q85" s="43"/>
      <c r="R85" s="43"/>
      <c r="S85" s="43"/>
    </row>
    <row r="86" spans="1:19" x14ac:dyDescent="0.2">
      <c r="A86" s="91"/>
      <c r="B86" s="95" t="str">
        <f>'Parameters List'!B86</f>
        <v>NF @ADCout (dB) - 1st Rx</v>
      </c>
      <c r="C86" s="67">
        <f>VLOOKUP(C$81,'AGC Set Table'!$A$3:$K$9,IF(C$80=0,6,IF(C$80=1,7)),FALSE)</f>
        <v>4.1399999999999997</v>
      </c>
      <c r="D86" s="67">
        <f>VLOOKUP(D$81,'AGC Set Table'!$A$3:$K$9,IF(D$80=0,6,IF(D$80=1,7)),FALSE)</f>
        <v>2.75</v>
      </c>
      <c r="F86" s="43"/>
      <c r="G86" s="43"/>
      <c r="H86" s="43"/>
      <c r="I86" s="43"/>
      <c r="J86" s="43"/>
      <c r="K86" s="43"/>
      <c r="L86" s="43"/>
      <c r="M86" s="43"/>
      <c r="N86" s="43"/>
      <c r="O86" s="43"/>
      <c r="P86" s="43"/>
      <c r="Q86" s="43"/>
      <c r="R86" s="43"/>
      <c r="S86" s="43"/>
    </row>
    <row r="87" spans="1:19" x14ac:dyDescent="0.2">
      <c r="A87" s="91"/>
      <c r="B87" s="95" t="str">
        <f>'Parameters List'!B87</f>
        <v>NF @ADCout (dB) - Ref Rx</v>
      </c>
      <c r="C87" s="67">
        <f>VLOOKUP(C$81,'AGC Set Table'!$A$3:$K$9,11,FALSE)</f>
        <v>2.5299999999999998</v>
      </c>
      <c r="D87" s="67">
        <f>VLOOKUP(D$81,'AGC Set Table'!$A$3:$K$9,11,FALSE)</f>
        <v>2.5299999999999998</v>
      </c>
      <c r="F87" s="43"/>
      <c r="G87" s="43"/>
      <c r="H87" s="43"/>
      <c r="I87" s="43"/>
      <c r="J87" s="43"/>
      <c r="K87" s="43"/>
      <c r="L87" s="43"/>
      <c r="M87" s="43"/>
      <c r="N87" s="43"/>
      <c r="O87" s="43"/>
      <c r="P87" s="43"/>
      <c r="Q87" s="43"/>
      <c r="R87" s="43"/>
      <c r="S87" s="43"/>
    </row>
    <row r="88" spans="1:19" x14ac:dyDescent="0.2">
      <c r="A88" s="91" t="s">
        <v>81</v>
      </c>
      <c r="B88" s="94" t="str">
        <f>'Parameters List'!B88</f>
        <v>RCS (m^2)</v>
      </c>
      <c r="C88" s="74">
        <v>0.01</v>
      </c>
      <c r="D88" s="74">
        <v>5.0000000000000001E-3</v>
      </c>
      <c r="F88" s="43"/>
      <c r="G88" s="43"/>
      <c r="H88" s="43"/>
      <c r="I88" s="43"/>
      <c r="J88" s="43"/>
      <c r="K88" s="43"/>
      <c r="L88" s="43"/>
      <c r="M88" s="43"/>
      <c r="N88" s="43"/>
      <c r="O88" s="43"/>
      <c r="P88" s="43"/>
      <c r="Q88" s="43"/>
      <c r="R88" s="43"/>
      <c r="S88" s="43"/>
    </row>
    <row r="89" spans="1:19" x14ac:dyDescent="0.2">
      <c r="A89" s="91"/>
      <c r="B89" s="95" t="str">
        <f>'Parameters List'!B89</f>
        <v>σ(dB/m2)</v>
      </c>
      <c r="C89" s="67">
        <f>10*LOG10(C$88)</f>
        <v>-20</v>
      </c>
      <c r="D89" s="67">
        <f>10*LOG10(D$88)</f>
        <v>-23.010299956639813</v>
      </c>
      <c r="F89" s="43"/>
      <c r="G89" s="43"/>
      <c r="H89" s="43"/>
      <c r="I89" s="43"/>
      <c r="J89" s="43"/>
      <c r="K89" s="43"/>
      <c r="L89" s="43"/>
      <c r="M89" s="43"/>
      <c r="N89" s="43"/>
      <c r="O89" s="43"/>
      <c r="P89" s="43"/>
      <c r="Q89" s="43"/>
      <c r="R89" s="43"/>
      <c r="S89" s="43"/>
    </row>
    <row r="90" spans="1:19" x14ac:dyDescent="0.2">
      <c r="A90" s="91"/>
      <c r="B90" s="80" t="str">
        <f>'Parameters List'!B90</f>
        <v>Tgt min range @ADCin (dBm) - Ref. Rx</v>
      </c>
      <c r="C90" s="70">
        <f>$C$185+$C$186+$C$188+C$89+$C$189-$C$190-40*LOG10(C$43)+$C$171-C$84-C$85-$C$179*(C$80=1)</f>
        <v>-63.26120373190534</v>
      </c>
      <c r="D90" s="70">
        <f>$C$185+$C$186+$C$188+D$89+$C$189-$C$190-40*LOG10(D$43)+$C$171-D$84-D$85-$C$179*(D$80=1)</f>
        <v>-56.750078142972768</v>
      </c>
      <c r="F90" s="43"/>
      <c r="G90" s="43"/>
      <c r="H90" s="43"/>
      <c r="I90" s="43"/>
      <c r="J90" s="43"/>
      <c r="K90" s="43"/>
      <c r="L90" s="43"/>
      <c r="M90" s="43"/>
      <c r="N90" s="43"/>
      <c r="O90" s="43"/>
      <c r="P90" s="43"/>
      <c r="Q90" s="43"/>
      <c r="R90" s="43"/>
      <c r="S90" s="43"/>
    </row>
    <row r="91" spans="1:19" x14ac:dyDescent="0.2">
      <c r="A91" s="91"/>
      <c r="B91" s="80" t="str">
        <f>'Parameters List'!B91</f>
        <v>Tgt max range @ADCin (dBm) - Ref. Rx</v>
      </c>
      <c r="C91" s="70">
        <f>$C$185+$C$186+$C$188+C$89+$C$189-$C$190-40*LOG10(C$44)+$C$171-C$84-C$85-$C$179*(C$80=1)</f>
        <v>-91.097346125443153</v>
      </c>
      <c r="D91" s="70">
        <f>$C$185+$C$186+$C$188+D$89+$C$189-$C$190-40*LOG10(D$44)+$C$171-D$84-D$85-$C$179*(D$80=1)</f>
        <v>-72.932901645814809</v>
      </c>
      <c r="F91" s="43"/>
      <c r="G91" s="43"/>
      <c r="H91" s="43"/>
      <c r="I91" s="43"/>
      <c r="J91" s="43"/>
      <c r="K91" s="43"/>
      <c r="L91" s="43"/>
      <c r="M91" s="43"/>
      <c r="N91" s="43"/>
      <c r="O91" s="43"/>
      <c r="P91" s="43"/>
      <c r="Q91" s="43"/>
      <c r="R91" s="43"/>
      <c r="S91" s="43"/>
    </row>
    <row r="92" spans="1:19" x14ac:dyDescent="0.2">
      <c r="A92" s="91"/>
      <c r="B92" s="95" t="str">
        <f>'Parameters List'!B92</f>
        <v>1st Rx Noise @ADCout (dBm/bin)</v>
      </c>
      <c r="C92" s="67">
        <f>C$86+$C$173+$C$171-C$84-C$85+10*LOG10($C$175*10^6)-$C$178*(C$80=1)+10*LOG10($C$156/$C$157)</f>
        <v>-34.839400086720389</v>
      </c>
      <c r="D92" s="67">
        <f>D$86+$C$173+$C$171-D$84-D$85+10*LOG10($C$175*10^6)-$C$178*(D$80=1)+10*LOG10($C$156/$C$157)</f>
        <v>-36.229400086720375</v>
      </c>
      <c r="F92" s="43"/>
      <c r="G92" s="43"/>
      <c r="H92" s="43"/>
      <c r="I92" s="43"/>
      <c r="J92" s="43"/>
      <c r="K92" s="43"/>
      <c r="L92" s="43"/>
      <c r="M92" s="43"/>
      <c r="N92" s="43"/>
      <c r="O92" s="43"/>
      <c r="P92" s="43"/>
      <c r="Q92" s="43"/>
      <c r="R92" s="43"/>
      <c r="S92" s="43"/>
    </row>
    <row r="93" spans="1:19" x14ac:dyDescent="0.2">
      <c r="A93" s="91"/>
      <c r="B93" s="95" t="str">
        <f>'Parameters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'Parameters List'!B94</f>
        <v>Total Noise @ADCout (dBm/bin)</v>
      </c>
      <c r="C94" s="67">
        <f>10*LOG10(10^((C$93 + 10*LOG10($C$157))/10) + 10^((C$92 + 10*LOG10(($C$182-$C$157) / $C$156))/10))+ (10*LOG10(C$34) - C$35) * (C$34&gt;1)</f>
        <v>-28.74449759340315</v>
      </c>
      <c r="D94" s="67">
        <f>10*LOG10(10^((D$93 + 10*LOG10($C$157))/10) + 10^((D$92 + 10*LOG10(($C$182-$C$157) / $C$156))/10))+ (10*LOG10(D$34) - D$35) * (D$34&gt;1)</f>
        <v>-30.106796884948185</v>
      </c>
      <c r="F94" s="43"/>
      <c r="G94" s="43"/>
      <c r="H94" s="43"/>
      <c r="I94" s="43"/>
      <c r="J94" s="43"/>
      <c r="K94" s="43"/>
      <c r="L94" s="43"/>
      <c r="M94" s="43"/>
      <c r="N94" s="43"/>
      <c r="O94" s="43"/>
      <c r="P94" s="43"/>
      <c r="Q94" s="43"/>
      <c r="R94" s="43"/>
      <c r="S94" s="43"/>
    </row>
    <row r="95" spans="1:19" x14ac:dyDescent="0.2">
      <c r="A95" s="91" t="s">
        <v>81</v>
      </c>
      <c r="B95" s="95" t="str">
        <f>'Parameters List'!B95</f>
        <v>Rx Processing Gain (dB)</v>
      </c>
      <c r="C95" s="67">
        <f>10*LOG10(C$46/2 * C$48 * C$51 * C$49) - $C$195</f>
        <v>54.213033002746116</v>
      </c>
      <c r="D95" s="67">
        <f>10*LOG10(D$46/2 * D$48 * D$51 * D$49) - $C$195</f>
        <v>39.373426210246436</v>
      </c>
      <c r="F95" s="43"/>
      <c r="G95" s="43"/>
      <c r="H95" s="43"/>
      <c r="I95" s="43"/>
      <c r="J95" s="43"/>
      <c r="K95" s="43"/>
      <c r="L95" s="43"/>
      <c r="M95" s="43"/>
      <c r="N95" s="43"/>
      <c r="O95" s="43"/>
      <c r="P95" s="43"/>
      <c r="Q95" s="43"/>
      <c r="R95" s="43"/>
      <c r="S95" s="43"/>
    </row>
    <row r="96" spans="1:19" x14ac:dyDescent="0.2">
      <c r="A96" s="91"/>
      <c r="B96" s="95" t="str">
        <f>'Parameters List'!B96</f>
        <v>Total Processing Gain (dB)</v>
      </c>
      <c r="C96" s="67">
        <f>C$95 + 20*LOG10($C$182) + (20*LOG10(C$34) - 2 * C$35) * (C$34&gt;1)-$C$179*(C$80=1)-$C$177*(C$80=1)</f>
        <v>86.468710137140818</v>
      </c>
      <c r="D96" s="67">
        <f>D$95 + 20*LOG10($C$182) + (20*LOG10(D$34) - 2 * D$35) * (D$34&gt;1)-$C$179*(D$80=1)-$C$177*(D$80=1)</f>
        <v>71.629103344641152</v>
      </c>
      <c r="F96" s="43"/>
      <c r="G96" s="43"/>
      <c r="H96" s="43"/>
      <c r="I96" s="43"/>
      <c r="J96" s="43"/>
      <c r="K96" s="43"/>
      <c r="L96" s="43"/>
      <c r="M96" s="43"/>
      <c r="N96" s="43"/>
      <c r="O96" s="43"/>
      <c r="P96" s="43"/>
      <c r="Q96" s="43"/>
      <c r="R96" s="43"/>
      <c r="S96" s="43"/>
    </row>
    <row r="97" spans="1:19" x14ac:dyDescent="0.2">
      <c r="A97" s="92"/>
      <c r="B97" s="95" t="str">
        <f>'Parameters List'!B97</f>
        <v>Total Loss (dB)</v>
      </c>
      <c r="C97" s="67">
        <f>$C$191 + ($C$202*(C$47=0)+$C$203*(C$47=1)+$C$198) + C$61 + C$64</f>
        <v>1.6679279896201356</v>
      </c>
      <c r="D97" s="67">
        <f>$C$191 + ($C$202*(D$47=0)+$C$203*(D$47=1)+$C$198) + D$61 + D$64</f>
        <v>1.6628323922311923</v>
      </c>
    </row>
    <row r="98" spans="1:19" x14ac:dyDescent="0.2">
      <c r="A98" s="91"/>
      <c r="B98" s="80" t="str">
        <f>'Parameters List'!B98</f>
        <v>SNR min range (dB)</v>
      </c>
      <c r="C98" s="70">
        <f>C$90+C$96-C$94-C$97</f>
        <v>50.284076009018499</v>
      </c>
      <c r="D98" s="70">
        <f>D$90+D$96-D$94-D$97</f>
        <v>43.32298969438537</v>
      </c>
      <c r="F98" s="43"/>
      <c r="G98" s="43"/>
      <c r="H98" s="43"/>
      <c r="I98" s="43"/>
      <c r="J98" s="43"/>
      <c r="K98" s="43"/>
      <c r="L98" s="43"/>
      <c r="M98" s="43"/>
      <c r="N98" s="43"/>
      <c r="O98" s="43"/>
      <c r="P98" s="43"/>
      <c r="Q98" s="43"/>
      <c r="R98" s="43"/>
      <c r="S98" s="43"/>
    </row>
    <row r="99" spans="1:19" x14ac:dyDescent="0.2">
      <c r="A99" s="91"/>
      <c r="B99" s="80" t="str">
        <f>'Parameters List'!B99</f>
        <v>SNR max range (dB)</v>
      </c>
      <c r="C99" s="70">
        <f>C$91+C$96-C$94-C$97</f>
        <v>22.447933615480679</v>
      </c>
      <c r="D99" s="70">
        <f>D$91+D$96-D$94-D$97</f>
        <v>27.140166191543337</v>
      </c>
      <c r="F99" s="43"/>
      <c r="G99" s="43"/>
      <c r="H99" s="43"/>
      <c r="I99" s="43"/>
      <c r="J99" s="43"/>
      <c r="K99" s="43"/>
      <c r="L99" s="43"/>
      <c r="M99" s="43"/>
      <c r="N99" s="43"/>
      <c r="O99" s="43"/>
      <c r="P99" s="43"/>
      <c r="Q99" s="43"/>
      <c r="R99" s="43"/>
      <c r="S99" s="43"/>
    </row>
    <row r="100" spans="1:19" x14ac:dyDescent="0.2">
      <c r="A100" s="91"/>
      <c r="B100" s="95" t="str">
        <f>'Parameters List'!B100</f>
        <v>Duty cycle per beam</v>
      </c>
      <c r="C100" s="67">
        <f>C$36/$C$104</f>
        <v>0.16009852216748768</v>
      </c>
      <c r="D100" s="67">
        <f>D$36/$C$104</f>
        <v>9.6059113300492618E-2</v>
      </c>
      <c r="F100" s="43"/>
      <c r="G100" s="43"/>
      <c r="H100" s="43"/>
      <c r="I100" s="43"/>
      <c r="J100" s="43"/>
      <c r="K100" s="43"/>
      <c r="L100" s="43"/>
      <c r="M100" s="43"/>
      <c r="N100" s="43"/>
      <c r="O100" s="43"/>
      <c r="P100" s="43"/>
      <c r="Q100" s="43"/>
      <c r="R100" s="43"/>
      <c r="S100" s="43"/>
    </row>
    <row r="101" spans="1:19" x14ac:dyDescent="0.2">
      <c r="A101" s="91"/>
      <c r="B101" s="95" t="str">
        <f>'Parameters List'!B101</f>
        <v>Buffer size (KB)</v>
      </c>
      <c r="C101" s="67">
        <f>MROUND((IF(C$21, $C$210*$C$155, C$54)*C$51*8+64)/1024,4)</f>
        <v>2160</v>
      </c>
      <c r="D101" s="67">
        <f>MROUND((IF(D$21, $C$210*$C$155, D$54)*D$51*8+64)/1024,4)</f>
        <v>0</v>
      </c>
      <c r="F101" s="43"/>
      <c r="G101" s="43"/>
      <c r="H101" s="43"/>
      <c r="I101" s="43"/>
      <c r="J101" s="43"/>
      <c r="K101" s="43"/>
      <c r="L101" s="43"/>
      <c r="M101" s="43"/>
      <c r="N101" s="43"/>
      <c r="O101" s="43"/>
      <c r="P101" s="43"/>
      <c r="Q101" s="43"/>
      <c r="R101" s="43"/>
      <c r="S101" s="43"/>
    </row>
    <row r="102" spans="1:19" x14ac:dyDescent="0.2">
      <c r="A102" s="91"/>
      <c r="B102" s="95" t="str">
        <f>'Parameters List'!B102</f>
        <v>PCIe Rate MB/s</v>
      </c>
      <c r="C102" s="67">
        <f>C$101*1024/C$30/1024</f>
        <v>25.977524630541868</v>
      </c>
      <c r="D102" s="67">
        <f>D$101*1024/D$30/1024</f>
        <v>0</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'Parameters List'!B104</f>
        <v>Total PRI (μs)</v>
      </c>
      <c r="C104" s="77">
        <f>(SUMIF($E$13:$AJ$13,"=1",$E$18:$AJ$18)*C$46+SUMIF($E$13:$AJ$13,"=2",$E$18:$AJ$18)*D$46)*$C$174+$C$208+COUNTIFS(E$13:AJ$13,"=1",E$15:AJ$15,"=1") * C$32 + COUNTIFS(E$13:AJ$13,"=1",E$15:AJ$15,"=2") * C$33 + COUNTIFS(E$13:AJ$13,"=2",E$15:AJ$15,"=1") * D$32 + COUNTIFS(E$13:AJ$13,"=2",E$15:AJ$15,"=2") * D$33</f>
        <v>40.6</v>
      </c>
      <c r="F104" s="43"/>
      <c r="G104" s="43"/>
      <c r="H104" s="43"/>
      <c r="I104" s="43"/>
      <c r="J104" s="43"/>
      <c r="K104" s="43"/>
      <c r="L104" s="43"/>
      <c r="M104" s="43"/>
      <c r="N104" s="43"/>
      <c r="O104" s="43"/>
      <c r="P104" s="43"/>
      <c r="Q104" s="43"/>
      <c r="R104" s="43"/>
      <c r="S104" s="43"/>
    </row>
    <row r="105" spans="1:19" x14ac:dyDescent="0.2">
      <c r="B105" s="76" t="str">
        <f>'Parameters List'!B105</f>
        <v>Unambiguous Range (km)</v>
      </c>
      <c r="C105" s="77">
        <f>$C$104*$C$163/1000</f>
        <v>6.0857868974000002</v>
      </c>
      <c r="F105" s="43"/>
      <c r="G105" s="43"/>
      <c r="H105" s="43"/>
      <c r="I105" s="43"/>
      <c r="J105" s="43"/>
      <c r="K105" s="43"/>
      <c r="L105" s="43"/>
      <c r="M105" s="43"/>
      <c r="N105" s="43"/>
      <c r="O105" s="43"/>
      <c r="P105" s="43"/>
      <c r="Q105" s="43"/>
      <c r="R105" s="43"/>
      <c r="S105" s="43"/>
    </row>
    <row r="106" spans="1:19" x14ac:dyDescent="0.2">
      <c r="B106" s="76" t="str">
        <f>'Parameters List'!B106</f>
        <v>Total PRF (kHz)</v>
      </c>
      <c r="C106" s="77">
        <f>1000/$C$104</f>
        <v>24.630541871921181</v>
      </c>
      <c r="F106" s="43"/>
      <c r="G106" s="43"/>
      <c r="H106" s="43"/>
      <c r="I106" s="43"/>
      <c r="J106" s="43"/>
      <c r="K106" s="43"/>
      <c r="L106" s="43"/>
      <c r="M106" s="43"/>
      <c r="N106" s="43"/>
      <c r="O106" s="43"/>
      <c r="P106" s="43"/>
      <c r="Q106" s="43"/>
      <c r="R106" s="43"/>
      <c r="S106" s="43"/>
    </row>
    <row r="107" spans="1:19" x14ac:dyDescent="0.2">
      <c r="B107" s="76" t="str">
        <f>'Parameters List'!B107</f>
        <v>Folding (Blind) Velocity (m/s)</v>
      </c>
      <c r="C107" s="77">
        <f>1000*$C$106/$C$168</f>
        <v>1054.8643842364531</v>
      </c>
      <c r="F107" s="43"/>
      <c r="G107" s="43"/>
      <c r="H107" s="43"/>
      <c r="I107" s="43"/>
      <c r="J107" s="43"/>
      <c r="K107" s="43"/>
      <c r="L107" s="43"/>
      <c r="M107" s="43"/>
      <c r="N107" s="43"/>
      <c r="O107" s="43"/>
      <c r="P107" s="43"/>
      <c r="Q107" s="43"/>
      <c r="R107" s="43"/>
      <c r="S107" s="43"/>
    </row>
    <row r="108" spans="1:19" x14ac:dyDescent="0.2">
      <c r="B108" s="76" t="str">
        <f>'Parameters List'!B108</f>
        <v>Max Trk Vr STD for Res Vel Amb (m/s)</v>
      </c>
      <c r="C108" s="77">
        <f>$C$107/4</f>
        <v>263.71609605911328</v>
      </c>
      <c r="F108" s="43"/>
      <c r="G108" s="43"/>
      <c r="H108" s="43"/>
      <c r="I108" s="43"/>
      <c r="J108" s="43"/>
      <c r="K108" s="43"/>
      <c r="L108" s="43"/>
      <c r="M108" s="43"/>
      <c r="N108" s="43"/>
      <c r="O108" s="43"/>
      <c r="P108" s="43"/>
      <c r="Q108" s="43"/>
      <c r="R108" s="43"/>
      <c r="S108" s="43"/>
    </row>
    <row r="109" spans="1:19" x14ac:dyDescent="0.2">
      <c r="B109" s="76" t="str">
        <f>'Parameters List'!B109</f>
        <v>Antenna 1 PA Duty cycle</v>
      </c>
      <c r="C109" s="77">
        <f>C$100*IF(C$27&gt;0,C$27,C$26)+D$100*IF(D$27&gt;0,D$27,D$26)</f>
        <v>0.16009852216748768</v>
      </c>
      <c r="F109" s="43"/>
      <c r="G109" s="43"/>
      <c r="H109" s="43"/>
      <c r="I109" s="43"/>
      <c r="J109" s="43"/>
      <c r="K109" s="43"/>
      <c r="L109" s="43"/>
      <c r="M109" s="43"/>
      <c r="N109" s="43"/>
      <c r="O109" s="43"/>
      <c r="P109" s="43"/>
      <c r="Q109" s="43"/>
      <c r="R109" s="43"/>
      <c r="S109" s="43"/>
    </row>
    <row r="110" spans="1:19" x14ac:dyDescent="0.2">
      <c r="B110" s="76" t="str">
        <f>'Parameters List'!B110</f>
        <v>Antenna 2 PA Duty cycle</v>
      </c>
      <c r="C110" s="77">
        <f>C$100*IF(C$28&gt;0,C$28,C$26)+D$100*IF(D$28&gt;0,D$28,D$26)</f>
        <v>0.16009852216748768</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'Parameters List'!B112</f>
        <v>Tgt RCS (m^2):</v>
      </c>
      <c r="C112" s="74">
        <f>C88</f>
        <v>0.01</v>
      </c>
      <c r="D112" s="74">
        <f>D88</f>
        <v>5.0000000000000001E-3</v>
      </c>
      <c r="F112" s="43"/>
      <c r="G112" s="43"/>
      <c r="H112" s="43"/>
      <c r="I112" s="43"/>
      <c r="J112" s="43"/>
      <c r="K112" s="43"/>
      <c r="L112" s="43"/>
      <c r="M112" s="43"/>
      <c r="N112" s="43"/>
      <c r="O112" s="43"/>
      <c r="P112" s="43"/>
      <c r="Q112" s="43"/>
      <c r="R112" s="43"/>
      <c r="S112" s="43"/>
    </row>
    <row r="113" spans="2:19" x14ac:dyDescent="0.2">
      <c r="B113" s="78" t="str">
        <f>'Parameters List'!B113</f>
        <v>SNR @ Range (m):</v>
      </c>
      <c r="C113" s="74">
        <f>C44</f>
        <v>5021.0496142499996</v>
      </c>
      <c r="D113" s="74">
        <f>D44</f>
        <v>1483.9726671000001</v>
      </c>
    </row>
    <row r="114" spans="2:19" x14ac:dyDescent="0.2">
      <c r="B114" s="79" t="str">
        <f>'Parameters List'!B114</f>
        <v>Tgt @ADCin (dBm) - Ref. Rx</v>
      </c>
      <c r="C114" s="70">
        <f>$C$185+$C$186+$C$188+10*LOG10(C$112)+$C$189-$C$190-40*LOG10(C$113)+$C$171-C$84-C$85-$C$179*(C$80=1)</f>
        <v>-91.097346125443153</v>
      </c>
      <c r="D114" s="70">
        <f>$C$185+$C$186+$C$188+10*LOG10(D$112)+$C$189-$C$190-40*LOG10(D$113)+$C$171-D$84-D$85-$C$179*(D$80=1)</f>
        <v>-72.932901645814809</v>
      </c>
    </row>
    <row r="115" spans="2:19" x14ac:dyDescent="0.2">
      <c r="B115" s="95" t="str">
        <f>'Parameters List'!B115</f>
        <v>Tgt @ADCin (dBm) - 1st Rx - no calib.</v>
      </c>
      <c r="C115" s="70">
        <f>C$114-($C$188+$C$171-C$84-C$85-$C$179*(C$80=1))+$C$187+$C$170-C$82-C$83-$C$177*(C$80=1)</f>
        <v>-95.097346125443153</v>
      </c>
      <c r="D115" s="70">
        <f>D$114-($C$188+$C$171-D$84-D$85-$C$179*(D$80=1))+$C$187+$C$170-D$82-D$83-$C$177*(D$80=1)</f>
        <v>-66.932901645814809</v>
      </c>
      <c r="F115" s="43"/>
      <c r="G115" s="43"/>
      <c r="H115" s="43"/>
      <c r="I115" s="43"/>
      <c r="J115" s="43"/>
      <c r="K115" s="43"/>
      <c r="L115" s="43"/>
      <c r="M115" s="43"/>
      <c r="N115" s="43"/>
      <c r="O115" s="43"/>
      <c r="P115" s="43"/>
      <c r="Q115" s="43"/>
      <c r="R115" s="43"/>
      <c r="S115" s="43"/>
    </row>
    <row r="116" spans="2:19" x14ac:dyDescent="0.2">
      <c r="B116" s="95" t="str">
        <f>'Parameters List'!B116</f>
        <v>Tgt @ADCout (dBm) - 1st Rx</v>
      </c>
      <c r="C116" s="70">
        <f>C$114+20*LOG10($C$156/$C$157)-$C$177*(C$80=1)</f>
        <v>-71.097346125443153</v>
      </c>
      <c r="D116" s="70">
        <f>D$114+20*LOG10($C$156/$C$157)-$C$177*(D$80=1)</f>
        <v>-52.932901645814809</v>
      </c>
      <c r="F116" s="43"/>
      <c r="G116" s="43"/>
      <c r="H116" s="43"/>
      <c r="I116" s="43"/>
      <c r="J116" s="43"/>
      <c r="K116" s="43"/>
      <c r="L116" s="43"/>
      <c r="M116" s="43"/>
      <c r="N116" s="43"/>
      <c r="O116" s="43"/>
      <c r="P116" s="43"/>
      <c r="Q116" s="43"/>
      <c r="R116" s="43"/>
      <c r="S116" s="43"/>
    </row>
    <row r="117" spans="2:19" x14ac:dyDescent="0.2">
      <c r="B117" s="95" t="str">
        <f>'Parameters List'!B117</f>
        <v>Tgt @ADCout (dBm)</v>
      </c>
      <c r="C117" s="70">
        <f>20*LOG10(10^(C$114/20)+($C$155-1)*10^(C$116/20))+ (20*LOG10(C$34) - 2 * C$35) * (C$34&gt;1)</f>
        <v>-58.841668991048444</v>
      </c>
      <c r="D117" s="70">
        <f>20*LOG10(10^(D$114/20)+($C$155-1)*10^(D$116/20))+ (20*LOG10(D$34) - 2 * D$35) * (D$34&gt;1)</f>
        <v>-40.677224511420107</v>
      </c>
      <c r="G117" s="43"/>
      <c r="H117" s="43"/>
      <c r="I117" s="43"/>
      <c r="J117" s="43"/>
      <c r="K117" s="43"/>
      <c r="L117" s="43"/>
      <c r="M117" s="43"/>
      <c r="N117" s="43"/>
      <c r="O117" s="43"/>
      <c r="P117" s="43"/>
      <c r="Q117" s="43"/>
      <c r="R117" s="43"/>
      <c r="S117" s="43"/>
    </row>
    <row r="118" spans="2:19" x14ac:dyDescent="0.2">
      <c r="B118" s="79" t="str">
        <f>'Parameters List'!B118</f>
        <v>SNR (dB)</v>
      </c>
      <c r="C118" s="70">
        <f>C117-C$94-C$97+C$95</f>
        <v>22.447933615480686</v>
      </c>
      <c r="D118" s="70">
        <f>D117-D$94-D$97+D$95</f>
        <v>27.140166191543322</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'Parameters List'!B120</f>
        <v>Probability of Detection @ SNR (dB):</v>
      </c>
      <c r="C120" s="64">
        <v>15</v>
      </c>
      <c r="D120" s="64">
        <v>18</v>
      </c>
    </row>
    <row r="121" spans="2:19" x14ac:dyDescent="0.2">
      <c r="B121" s="71" t="str">
        <f>'Parameters List'!B121</f>
        <v>SWERLING (0, I, II, III, IV)</v>
      </c>
      <c r="C121" s="64">
        <v>1</v>
      </c>
      <c r="D121" s="64">
        <v>0</v>
      </c>
    </row>
    <row r="122" spans="2:19" x14ac:dyDescent="0.2">
      <c r="B122" s="79" t="str">
        <f>'Parameters List'!B122</f>
        <v>Probability of Detection</v>
      </c>
      <c r="C122" s="70">
        <f>pf_PD_PFA_CFAR("pd", C$74, C$120, C$121, C$68*2, 1)</f>
        <v>0.6181820390905115</v>
      </c>
      <c r="D122" s="70">
        <f>pf_PD_PFA_CFAR("pd", D$74, D$120, D$121, D$68*2, 1)</f>
        <v>0.99825898783509037</v>
      </c>
    </row>
    <row r="123" spans="2:19" x14ac:dyDescent="0.2">
      <c r="B123" s="71" t="str">
        <f>'Parameters List'!B123</f>
        <v>Pd for at least N of M detections (N,M)</v>
      </c>
      <c r="C123" s="105" t="s">
        <v>386</v>
      </c>
      <c r="D123" s="105" t="s">
        <v>386</v>
      </c>
    </row>
    <row r="124" spans="2:19" x14ac:dyDescent="0.2">
      <c r="B124" s="79" t="str">
        <f>'Parameters List'!B124</f>
        <v>Probability of Detection</v>
      </c>
      <c r="C124" s="70">
        <f>pf_PD_N_OUTOF_M(C$122, LEFT(C$123,FIND(",",C$123,1) - 1), MID(C$123,FIND(",",C$123,1)+1,100))</f>
        <v>0.92619322925372272</v>
      </c>
      <c r="D124" s="70">
        <f>pf_PD_N_OUTOF_M(D$122, LEFT(D$123,FIND(",",D$123,1) - 1), MID(D$123,FIND(",",D$123,1)+1,100))</f>
        <v>0.99999999995412547</v>
      </c>
    </row>
    <row r="125" spans="2:19" x14ac:dyDescent="0.2">
      <c r="B125" s="75"/>
    </row>
    <row r="126" spans="2:19" x14ac:dyDescent="0.2">
      <c r="B126" s="71" t="str">
        <f>'Parameters List'!B126</f>
        <v>Target Revisit Time (sec)</v>
      </c>
      <c r="C126" s="64">
        <v>0.05</v>
      </c>
      <c r="D126" s="64">
        <v>0.05</v>
      </c>
    </row>
    <row r="127" spans="2:19" x14ac:dyDescent="0.2">
      <c r="B127" s="68" t="str">
        <f>'Parameters List'!B127</f>
        <v>Acceleration Folding (m/s2)</v>
      </c>
      <c r="C127" s="67">
        <f>$C$107/C$126</f>
        <v>21097.287684729061</v>
      </c>
      <c r="D127" s="67">
        <f>$C$107/D$126</f>
        <v>21097.287684729061</v>
      </c>
    </row>
    <row r="128" spans="2:19" x14ac:dyDescent="0.2">
      <c r="B128" s="80" t="str">
        <f>'Parameters List'!B128</f>
        <v>Maximum Allowed Acceleration (m/s2)</v>
      </c>
      <c r="C128" s="70">
        <f>($C$107/4)/C$126</f>
        <v>5274.3219211822652</v>
      </c>
      <c r="D128" s="70">
        <f>($C$107/4)/D$126</f>
        <v>5274.3219211822652</v>
      </c>
    </row>
    <row r="129" spans="2:19" x14ac:dyDescent="0.2">
      <c r="B129" s="80" t="str">
        <f>'Parameters List'!B129</f>
        <v>Acceleration Ambiguity (m/s2)</v>
      </c>
      <c r="C129" s="70">
        <f>C$127-C$128</f>
        <v>15822.965763546796</v>
      </c>
      <c r="D129" s="70">
        <f>D$127-D$128</f>
        <v>15822.965763546796</v>
      </c>
    </row>
    <row r="130" spans="2:19" x14ac:dyDescent="0.2">
      <c r="B130" s="75"/>
    </row>
    <row r="131" spans="2:19" x14ac:dyDescent="0.2">
      <c r="B131" s="78" t="str">
        <f>'Parameters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'Parameters List'!B132</f>
        <v>SNR @ Range (m):</v>
      </c>
      <c r="C132" s="74">
        <f>$C$163*C$36 + C$41</f>
        <v>1011.3254885</v>
      </c>
      <c r="D132" s="74">
        <f>$C$163*D$36 + D$41</f>
        <v>584.59529310000005</v>
      </c>
    </row>
    <row r="133" spans="2:19" x14ac:dyDescent="0.2">
      <c r="B133" s="79" t="str">
        <f>'Parameters List'!B133</f>
        <v>Tgt @ADCin (dBm) - Ref. Rx</v>
      </c>
      <c r="C133" s="70">
        <f>$C$185+$C$186+$C$188+10*LOG10(C$131)+$C$189-$C$190-40*LOG10(C$132)+$C$171-C$84-C$85-$C$179*(C$80=1)</f>
        <v>-63.26120373190534</v>
      </c>
      <c r="D133" s="70">
        <f>$C$185+$C$186+$C$188+10*LOG10(D$131)+$C$189-$C$190-40*LOG10(D$132)+$C$171-D$84-D$85-$C$179*(D$80=1)</f>
        <v>-43.739778186332956</v>
      </c>
    </row>
    <row r="134" spans="2:19" x14ac:dyDescent="0.2">
      <c r="B134" s="78" t="str">
        <f>'Parameters List'!B134</f>
        <v>Interferer @ Range (m)</v>
      </c>
      <c r="C134" s="74">
        <v>10000</v>
      </c>
      <c r="D134" s="74">
        <v>10000</v>
      </c>
    </row>
    <row r="135" spans="2:19" x14ac:dyDescent="0.2">
      <c r="B135" s="79" t="str">
        <f>'Parameters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'Parameters List'!B136</f>
        <v>Interferer @ ADCin (dBm) - 1st Rx</v>
      </c>
      <c r="C136" s="70">
        <f>C$135+20*LOG10($C$156/$C$157)-$C$177*(C$80=1)</f>
        <v>27.926533025505833</v>
      </c>
      <c r="D136" s="70">
        <f>$C$185+$C$186+$C$187-$C$166+$C$189-$C$190/3*2-20*LOG10(D$134)+$C$170-D$84-D$85-$C$177*(D$80=1)</f>
        <v>23.926533025505833</v>
      </c>
    </row>
    <row r="137" spans="2:19" x14ac:dyDescent="0.2">
      <c r="B137" s="81" t="str">
        <f>'Parameters List'!B137</f>
        <v>Ref. Rx Phase Noise @ADCin (dBm/bin)</v>
      </c>
      <c r="C137" s="67">
        <f>C$135+$C$165+10*LOG10(1/(C$30*10^-3))+10*LOG10($C$175*10^6/($C$106*10^3))</f>
        <v>-74.16616658425248</v>
      </c>
      <c r="D137" s="67">
        <f>D$135+$C$165+10*LOG10(1/(D$30*10^-3))+10*LOG10($C$175*10^6/($C$106*10^3))</f>
        <v>-61.545047287916361</v>
      </c>
    </row>
    <row r="138" spans="2:19" x14ac:dyDescent="0.2">
      <c r="B138" s="81" t="str">
        <f>'Parameters List'!B138</f>
        <v>Ref. Rx Phase Noise @ADCout (dBm/bin)</v>
      </c>
      <c r="C138" s="67">
        <f>C$137+C$95</f>
        <v>-19.953133581506364</v>
      </c>
      <c r="D138" s="67">
        <f>D$137+D$95</f>
        <v>-22.171621077669926</v>
      </c>
    </row>
    <row r="139" spans="2:19" x14ac:dyDescent="0.2">
      <c r="B139" s="81" t="str">
        <f>'Parameters List'!B139</f>
        <v>Ref. Rx Total Noise @ADCout (dBm/bin)</v>
      </c>
      <c r="C139" s="67">
        <f>10*LOG10(10 ^ (C$138 / 10) + 10 ^ (C$93 / 10))</f>
        <v>-19.943413462901852</v>
      </c>
      <c r="D139" s="67">
        <f>10*LOG10(10 ^ (D$138 / 10) + 10 ^ (D$93 / 10))</f>
        <v>-22.155432945098731</v>
      </c>
    </row>
    <row r="140" spans="2:19" x14ac:dyDescent="0.2">
      <c r="B140" s="81" t="str">
        <f>'Parameters List'!B140</f>
        <v>1st Rx Phase Noise @ADCout (dBm/bin)</v>
      </c>
      <c r="C140" s="67">
        <f>C$136+$C$165+10*LOG10(1/(C$30*10^-3))+10*LOG10($C$175*10^6/($C$106*10^3))+C$95</f>
        <v>4.686641849363582E-2</v>
      </c>
      <c r="D140" s="67">
        <f>D$136+$C$165+10*LOG10(1/(D$30*10^-3))+10*LOG10($C$175*10^6/($C$106*10^3))+D$95</f>
        <v>-6.1716210776699256</v>
      </c>
    </row>
    <row r="141" spans="2:19" x14ac:dyDescent="0.2">
      <c r="B141" s="81" t="str">
        <f>'Parameters List'!B141</f>
        <v>1st Rx Total Noise @ADCout (dBm/bin)</v>
      </c>
      <c r="C141" s="67">
        <f>10*LOG10(10 ^ (C$140 / 10) + 10 ^ (C$92 / 10))</f>
        <v>4.8275990221127552E-2</v>
      </c>
      <c r="D141" s="67">
        <f>10*LOG10(10 ^ (D$140 / 10) + 10 ^ (D$92 / 10))</f>
        <v>-6.1673376422750081</v>
      </c>
    </row>
    <row r="142" spans="2:19" x14ac:dyDescent="0.2">
      <c r="B142" s="81" t="str">
        <f>'Parameters List'!B142</f>
        <v>Total Noise Power @ADCout (dBm/bin)</v>
      </c>
      <c r="C142" s="67">
        <f>10*LOG10((($C$155-1) * 10^(C$140/20) + 10^(C$138/20))^2*((C$34 - 10^(C$35/10))*(C$34&gt;1) + 1) ^ 2 + 10^(C$94/10))</f>
        <v>12.302884795403607</v>
      </c>
      <c r="D142" s="67">
        <f>10*LOG10((($C$155-1) * 10^(D$140/20) + 10^(D$138/20))^2*((D$34 - 10^(D$35/10))*(D$34&gt;1) + 1) ^ 2 + 10^(D$94/10))</f>
        <v>6.2081054464318708</v>
      </c>
    </row>
    <row r="143" spans="2:19" x14ac:dyDescent="0.2">
      <c r="B143" s="79" t="str">
        <f>'Parameters List'!B143</f>
        <v>SNR (dB)</v>
      </c>
      <c r="C143" s="70">
        <f>IF(C$134&lt;=0, C$133+C$96-C$94, C$133+C$96 -C$142)-C$97</f>
        <v>9.2366936202117351</v>
      </c>
      <c r="D143" s="70">
        <f>IF(D$134&lt;=0, D$133+D$96-D$94, D$133+D$96 -D$142)-D$97</f>
        <v>20.018387319645132</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'Parameters List'!B146</f>
        <v>Ref Rx Noise @ADCout (dBm/bin)</v>
      </c>
      <c r="C146" s="70">
        <f>C$93-C$95</f>
        <v>-100.66243308946649</v>
      </c>
      <c r="D146" s="83">
        <f>D$93-D$95</f>
        <v>-85.822826296966809</v>
      </c>
      <c r="F146" s="43"/>
      <c r="G146" s="43"/>
      <c r="H146" s="43"/>
      <c r="I146" s="43"/>
      <c r="J146" s="43"/>
      <c r="K146" s="43"/>
      <c r="L146" s="43"/>
      <c r="M146" s="43"/>
      <c r="N146" s="43"/>
      <c r="O146" s="43"/>
      <c r="P146" s="43"/>
      <c r="Q146" s="43"/>
      <c r="R146" s="43"/>
      <c r="S146" s="43"/>
    </row>
    <row r="147" spans="2:19" x14ac:dyDescent="0.2">
      <c r="B147" s="82" t="str">
        <f>'Parameters List'!B147</f>
        <v>1st Rx Noise @ADCout (dBm/bin)</v>
      </c>
      <c r="C147" s="70">
        <f>C$92-C$95</f>
        <v>-89.052433089466504</v>
      </c>
      <c r="D147" s="83">
        <f>D$92-D$95</f>
        <v>-75.602826296966811</v>
      </c>
    </row>
    <row r="148" spans="2:19" ht="15" thickBot="1" x14ac:dyDescent="0.25">
      <c r="B148" s="84" t="str">
        <f>'Parameters List'!B148</f>
        <v>Beam Total Noise @ADCout (dBm/bin)</v>
      </c>
      <c r="C148" s="85">
        <f>C$94-C$95 - (10*LOG10(C$34) - C$35) * (C$34&gt;1)</f>
        <v>-82.957530596149269</v>
      </c>
      <c r="D148" s="86">
        <f>D$94-D$95 - (10*LOG10(D$34) - D$35) * (D$34&gt;1)</f>
        <v>-69.480223095194617</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'Parameters List'!B151</f>
        <v>Ref Rx Noise @ADCout (dBm/bin)</v>
      </c>
      <c r="C151" s="70">
        <f>C$139-C$95</f>
        <v>-74.156446465647974</v>
      </c>
      <c r="D151" s="83">
        <f>D$139-D$95</f>
        <v>-61.528859155345167</v>
      </c>
      <c r="F151" s="43"/>
      <c r="G151" s="43"/>
      <c r="H151" s="43"/>
      <c r="I151" s="43"/>
      <c r="J151" s="43"/>
      <c r="K151" s="43"/>
      <c r="L151" s="43"/>
      <c r="M151" s="43"/>
      <c r="N151" s="43"/>
      <c r="O151" s="43"/>
      <c r="P151" s="43"/>
      <c r="Q151" s="43"/>
      <c r="R151" s="43"/>
      <c r="S151" s="43"/>
    </row>
    <row r="152" spans="2:19" x14ac:dyDescent="0.2">
      <c r="B152" s="82" t="str">
        <f>'Parameters List'!B152</f>
        <v>1st Rx Noise @ADCout (dBm/bin)</v>
      </c>
      <c r="C152" s="70">
        <f>C$141-C$95</f>
        <v>-54.164757012524987</v>
      </c>
      <c r="D152" s="83">
        <f>D$141-D$95</f>
        <v>-45.540763852521444</v>
      </c>
    </row>
    <row r="153" spans="2:19" ht="15" thickBot="1" x14ac:dyDescent="0.25">
      <c r="B153" s="84" t="str">
        <f>'Parameters List'!B153</f>
        <v>Beam Total Noise @ADCout (dBm/bin)</v>
      </c>
      <c r="C153" s="85">
        <f>10*LOG10(10 ^ ((C$137 + C$96 - (20*LOG10(C$34) - 2*C$35) * (C$34&gt;1))/ 10) + 10 ^ ((C$94 - (10*LOG10(C$34) - C$35) * (C$34&gt;1)) / 10)) - C$95</f>
        <v>-41.910148207342516</v>
      </c>
      <c r="D153" s="86">
        <f>10*LOG10(10 ^ ((D$137 + D$96 - (20*LOG10(D$34) - 2*D$35) * (D$34&gt;1))/ 10) + 10 ^ ((D$94 - (10*LOG10(D$34) - D$35) * (D$34&gt;1)) / 10)) - D$95</f>
        <v>-29.28895455093982</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'General System Parameters'!B9</f>
        <v># Rcvrs</v>
      </c>
      <c r="C155" s="33">
        <f>'General System Parameters'!C9</f>
        <v>5</v>
      </c>
      <c r="F155" s="43"/>
      <c r="G155" s="43"/>
      <c r="H155" s="43"/>
      <c r="I155" s="43"/>
      <c r="J155" s="43"/>
      <c r="K155" s="43"/>
      <c r="L155" s="43"/>
      <c r="M155" s="43"/>
      <c r="N155" s="43"/>
      <c r="O155" s="43"/>
      <c r="P155" s="43"/>
      <c r="Q155" s="43"/>
      <c r="R155" s="43"/>
      <c r="S155" s="43"/>
    </row>
    <row r="156" spans="2:19" x14ac:dyDescent="0.2">
      <c r="B156" s="32" t="str">
        <f>'General System Parameters'!B10</f>
        <v># Patches in 1st Rx</v>
      </c>
      <c r="C156" s="33">
        <f>'General System Parameters'!C10</f>
        <v>10</v>
      </c>
      <c r="F156" s="43"/>
      <c r="G156" s="43"/>
      <c r="H156" s="43"/>
      <c r="I156" s="43"/>
      <c r="J156" s="43"/>
      <c r="K156" s="43"/>
      <c r="L156" s="43"/>
      <c r="M156" s="43"/>
      <c r="N156" s="43"/>
      <c r="O156" s="43"/>
      <c r="P156" s="43"/>
      <c r="Q156" s="43"/>
      <c r="R156" s="43"/>
      <c r="S156" s="43"/>
    </row>
    <row r="157" spans="2:19" x14ac:dyDescent="0.2">
      <c r="B157" s="32" t="str">
        <f>'General System Parameters'!B11</f>
        <v># Patches in Ref (Guard) Rx</v>
      </c>
      <c r="C157" s="33">
        <f>'General System Parameters'!C11</f>
        <v>1</v>
      </c>
      <c r="F157" s="43"/>
      <c r="G157" s="43"/>
      <c r="H157" s="43"/>
      <c r="I157" s="43"/>
      <c r="J157" s="43"/>
      <c r="K157" s="43"/>
      <c r="L157" s="43"/>
      <c r="M157" s="43"/>
      <c r="N157" s="43"/>
      <c r="O157" s="43"/>
      <c r="P157" s="43"/>
      <c r="Q157" s="43"/>
      <c r="R157" s="43"/>
      <c r="S157" s="43"/>
    </row>
    <row r="158" spans="2:19" x14ac:dyDescent="0.2">
      <c r="B158" s="32" t="str">
        <f>'General System Parameters'!B12</f>
        <v>Typical System Gain (dB) - 1st Rx</v>
      </c>
      <c r="C158" s="33">
        <f>'General System Parameters'!C12</f>
        <v>59.76</v>
      </c>
      <c r="F158" s="43"/>
      <c r="G158" s="43"/>
      <c r="H158" s="43"/>
      <c r="I158" s="43"/>
      <c r="J158" s="43"/>
      <c r="K158" s="43"/>
      <c r="L158" s="43"/>
      <c r="M158" s="43"/>
      <c r="N158" s="43"/>
      <c r="O158" s="43"/>
      <c r="P158" s="43"/>
      <c r="Q158" s="43"/>
      <c r="R158" s="43"/>
      <c r="S158" s="43"/>
    </row>
    <row r="159" spans="2:19" x14ac:dyDescent="0.2">
      <c r="B159" s="32" t="str">
        <f>'General System Parameters'!B13</f>
        <v>Typical System Gain (dB) - Ref (Guard) Rx</v>
      </c>
      <c r="C159" s="33">
        <f>'General System Parameters'!C13</f>
        <v>54.1</v>
      </c>
      <c r="F159" s="43"/>
      <c r="G159" s="43"/>
      <c r="H159" s="43"/>
      <c r="I159" s="43"/>
      <c r="J159" s="43"/>
      <c r="K159" s="43"/>
      <c r="L159" s="43"/>
      <c r="M159" s="43"/>
      <c r="N159" s="43"/>
      <c r="O159" s="43"/>
      <c r="P159" s="43"/>
      <c r="Q159" s="43"/>
      <c r="R159" s="43"/>
      <c r="S159" s="43"/>
    </row>
    <row r="160" spans="2:19" x14ac:dyDescent="0.2">
      <c r="B160" s="32" t="str">
        <f>'General System Parameters'!B14</f>
        <v>Typical 1st Rx Calibration (dB)</v>
      </c>
      <c r="C160" s="33">
        <f>'General System Parameters'!C14</f>
        <v>4.3400000000000105</v>
      </c>
      <c r="F160" s="43"/>
      <c r="G160" s="43"/>
      <c r="H160" s="43"/>
      <c r="I160" s="43"/>
      <c r="J160" s="43"/>
      <c r="K160" s="43"/>
      <c r="L160" s="43"/>
      <c r="M160" s="43"/>
      <c r="N160" s="43"/>
      <c r="O160" s="43"/>
      <c r="P160" s="43"/>
      <c r="Q160" s="43"/>
      <c r="R160" s="43"/>
      <c r="S160" s="43"/>
    </row>
    <row r="161" spans="2:19" x14ac:dyDescent="0.2">
      <c r="B161" s="32" t="str">
        <f>'General System Parameters'!B15</f>
        <v>System Propagation Delay (us)</v>
      </c>
      <c r="C161" s="33">
        <f>'General System Parameters'!C15</f>
        <v>0.15</v>
      </c>
      <c r="F161" s="43"/>
      <c r="G161" s="43"/>
      <c r="H161" s="43"/>
      <c r="I161" s="43"/>
      <c r="J161" s="43"/>
      <c r="K161" s="43"/>
      <c r="L161" s="43"/>
      <c r="M161" s="43"/>
      <c r="N161" s="43"/>
      <c r="O161" s="43"/>
      <c r="P161" s="43"/>
      <c r="Q161" s="43"/>
      <c r="R161" s="43"/>
      <c r="S161" s="43"/>
    </row>
    <row r="162" spans="2:19" x14ac:dyDescent="0.2">
      <c r="B162" s="32" t="str">
        <f>'General System Parameters'!B16</f>
        <v>c (m/s)</v>
      </c>
      <c r="C162" s="33">
        <f>'General System Parameters'!C16</f>
        <v>299792458</v>
      </c>
      <c r="F162" s="43"/>
      <c r="G162" s="43"/>
      <c r="H162" s="43"/>
      <c r="I162" s="43"/>
      <c r="J162" s="43"/>
      <c r="K162" s="43"/>
      <c r="L162" s="43"/>
      <c r="M162" s="43"/>
      <c r="N162" s="43"/>
      <c r="O162" s="43"/>
      <c r="P162" s="43"/>
      <c r="Q162" s="43"/>
      <c r="R162" s="43"/>
      <c r="S162" s="43"/>
    </row>
    <row r="163" spans="2:19" x14ac:dyDescent="0.2">
      <c r="B163" s="32" t="str">
        <f>'General System Parameters'!B17</f>
        <v>c/2 (m/μs)</v>
      </c>
      <c r="C163" s="33">
        <f>'General System Parameters'!C17</f>
        <v>149.89622900000001</v>
      </c>
      <c r="F163" s="43"/>
      <c r="G163" s="43"/>
      <c r="H163" s="43"/>
      <c r="I163" s="43"/>
      <c r="J163" s="43"/>
      <c r="K163" s="43"/>
      <c r="L163" s="43"/>
      <c r="M163" s="43"/>
      <c r="N163" s="43"/>
      <c r="O163" s="43"/>
      <c r="P163" s="43"/>
      <c r="Q163" s="43"/>
      <c r="R163" s="43"/>
      <c r="S163" s="43"/>
    </row>
    <row r="164" spans="2:19" x14ac:dyDescent="0.2">
      <c r="B164" s="30" t="str">
        <f>'General System Parameters'!B18</f>
        <v>Freq (GHz)</v>
      </c>
      <c r="C164" s="31">
        <f>'General System Parameters'!C18</f>
        <v>3.5</v>
      </c>
      <c r="F164" s="43"/>
      <c r="G164" s="43"/>
      <c r="H164" s="43"/>
      <c r="I164" s="43"/>
      <c r="J164" s="43"/>
      <c r="K164" s="43"/>
      <c r="L164" s="43"/>
      <c r="M164" s="43"/>
      <c r="N164" s="43"/>
      <c r="O164" s="43"/>
      <c r="P164" s="43"/>
      <c r="Q164" s="43"/>
      <c r="R164" s="43"/>
      <c r="S164" s="43"/>
    </row>
    <row r="165" spans="2:19" x14ac:dyDescent="0.2">
      <c r="B165" s="30" t="str">
        <f>'General System Parameters'!B19</f>
        <v>Phase Noise Level (dBc/Hz)</v>
      </c>
      <c r="C165" s="31">
        <f>'General System Parameters'!C19</f>
        <v>-125</v>
      </c>
      <c r="F165" s="43"/>
      <c r="G165" s="43"/>
      <c r="H165" s="43"/>
      <c r="I165" s="43"/>
      <c r="J165" s="43"/>
      <c r="K165" s="43"/>
      <c r="L165" s="43"/>
      <c r="M165" s="43"/>
      <c r="N165" s="43"/>
      <c r="O165" s="43"/>
      <c r="P165" s="43"/>
      <c r="Q165" s="43"/>
      <c r="R165" s="43"/>
      <c r="S165" s="43"/>
    </row>
    <row r="166" spans="2:19" x14ac:dyDescent="0.2">
      <c r="B166" s="30" t="str">
        <f>'General System Parameters'!B20</f>
        <v>Polarization Loss (dB)</v>
      </c>
      <c r="C166" s="31">
        <f>'General System Parameters'!C20</f>
        <v>0</v>
      </c>
      <c r="F166" s="43"/>
      <c r="G166" s="43"/>
      <c r="H166" s="43"/>
      <c r="I166" s="43"/>
      <c r="J166" s="43"/>
      <c r="K166" s="43"/>
      <c r="L166" s="43"/>
      <c r="M166" s="43"/>
      <c r="N166" s="43"/>
      <c r="O166" s="43"/>
      <c r="P166" s="43"/>
      <c r="Q166" s="43"/>
      <c r="R166" s="43"/>
      <c r="S166" s="43"/>
    </row>
    <row r="167" spans="2:19" x14ac:dyDescent="0.2">
      <c r="B167" s="34" t="str">
        <f>'General System Parameters'!B21</f>
        <v>λ (m)</v>
      </c>
      <c r="C167" s="35">
        <f>'General System Parameters'!C21</f>
        <v>8.5654988000000001E-2</v>
      </c>
      <c r="F167" s="43"/>
      <c r="G167" s="43"/>
      <c r="H167" s="43"/>
      <c r="I167" s="43"/>
      <c r="J167" s="43"/>
      <c r="K167" s="43"/>
      <c r="L167" s="43"/>
      <c r="M167" s="43"/>
      <c r="N167" s="43"/>
      <c r="O167" s="43"/>
      <c r="P167" s="43"/>
      <c r="Q167" s="43"/>
      <c r="R167" s="43"/>
      <c r="S167" s="43"/>
    </row>
    <row r="168" spans="2:19" x14ac:dyDescent="0.2">
      <c r="B168" s="34" t="str">
        <f>'General System Parameters'!B22</f>
        <v>Doppler factor (Hz/(m/sec))</v>
      </c>
      <c r="C168" s="35">
        <f>'General System Parameters'!C22</f>
        <v>23.349486663870643</v>
      </c>
      <c r="F168" s="43"/>
      <c r="G168" s="43"/>
      <c r="H168" s="43"/>
      <c r="I168" s="43"/>
      <c r="J168" s="43"/>
      <c r="K168" s="43"/>
      <c r="L168" s="43"/>
      <c r="M168" s="43"/>
      <c r="N168" s="43"/>
      <c r="O168" s="43"/>
      <c r="P168" s="43"/>
      <c r="Q168" s="43"/>
      <c r="R168" s="43"/>
      <c r="S168" s="43"/>
    </row>
    <row r="169" spans="2:19" x14ac:dyDescent="0.2">
      <c r="B169" s="36" t="str">
        <f>'General System Parameters'!B23</f>
        <v>ALC</v>
      </c>
      <c r="C169" s="31">
        <f>'General System Parameters'!C23</f>
        <v>0</v>
      </c>
      <c r="F169" s="43"/>
      <c r="G169" s="43"/>
      <c r="H169" s="43"/>
      <c r="I169" s="43"/>
      <c r="J169" s="43"/>
      <c r="K169" s="43"/>
      <c r="L169" s="43"/>
      <c r="M169" s="43"/>
      <c r="N169" s="43"/>
      <c r="O169" s="43"/>
      <c r="P169" s="43"/>
      <c r="Q169" s="43"/>
      <c r="R169" s="43"/>
      <c r="S169" s="43"/>
    </row>
    <row r="170" spans="2:19" x14ac:dyDescent="0.2">
      <c r="B170" s="36" t="str">
        <f>'General System Parameters'!B24</f>
        <v>Actual System Gain (dB) - 1st Rx</v>
      </c>
      <c r="C170" s="31">
        <f>'General System Parameters'!C24</f>
        <v>60</v>
      </c>
      <c r="F170" s="43"/>
      <c r="G170" s="43"/>
      <c r="H170" s="43"/>
      <c r="I170" s="43"/>
      <c r="J170" s="43"/>
      <c r="K170" s="43"/>
      <c r="L170" s="43"/>
      <c r="M170" s="43"/>
      <c r="N170" s="43"/>
      <c r="O170" s="43"/>
      <c r="P170" s="43"/>
      <c r="Q170" s="43"/>
      <c r="R170" s="43"/>
      <c r="S170" s="43"/>
    </row>
    <row r="171" spans="2:19" x14ac:dyDescent="0.2">
      <c r="B171" s="36" t="str">
        <f>'General System Parameters'!B25</f>
        <v>Actual System Gain (dB) - Ref Rx</v>
      </c>
      <c r="C171" s="31">
        <f>'General System Parameters'!C25</f>
        <v>54</v>
      </c>
      <c r="F171" s="43"/>
      <c r="G171" s="43"/>
      <c r="H171" s="43"/>
      <c r="I171" s="43"/>
      <c r="J171" s="43"/>
      <c r="K171" s="43"/>
      <c r="L171" s="43"/>
      <c r="M171" s="43"/>
      <c r="N171" s="43"/>
      <c r="O171" s="43"/>
      <c r="P171" s="43"/>
      <c r="Q171" s="43"/>
      <c r="R171" s="43"/>
      <c r="S171" s="43"/>
    </row>
    <row r="172" spans="2:19" x14ac:dyDescent="0.2">
      <c r="B172" s="34" t="str">
        <f>'General System Parameters'!B26</f>
        <v>Actual 1st Rx Calibration (dB)</v>
      </c>
      <c r="C172" s="35">
        <f>'General System Parameters'!C26</f>
        <v>4</v>
      </c>
      <c r="F172" s="43"/>
      <c r="G172" s="43"/>
      <c r="H172" s="43"/>
      <c r="I172" s="43"/>
      <c r="J172" s="43"/>
      <c r="K172" s="43"/>
      <c r="L172" s="43"/>
      <c r="M172" s="43"/>
      <c r="N172" s="43"/>
      <c r="O172" s="43"/>
      <c r="P172" s="43"/>
      <c r="Q172" s="43"/>
      <c r="R172" s="43"/>
      <c r="S172" s="43"/>
    </row>
    <row r="173" spans="2:19" x14ac:dyDescent="0.2">
      <c r="B173" s="32" t="str">
        <f>'General System Parameters'!B27</f>
        <v>KT (dBm/Hz)</v>
      </c>
      <c r="C173" s="33">
        <f>'General System Parameters'!C27</f>
        <v>-174</v>
      </c>
      <c r="F173" s="43"/>
      <c r="G173" s="43"/>
      <c r="H173" s="43"/>
      <c r="I173" s="43"/>
      <c r="J173" s="43"/>
      <c r="K173" s="43"/>
      <c r="L173" s="43"/>
      <c r="M173" s="43"/>
      <c r="N173" s="43"/>
      <c r="O173" s="43"/>
      <c r="P173" s="43"/>
      <c r="Q173" s="43"/>
      <c r="R173" s="43"/>
      <c r="S173" s="43"/>
    </row>
    <row r="174" spans="2:19" x14ac:dyDescent="0.2">
      <c r="B174" s="32" t="str">
        <f>'General System Parameters'!B28</f>
        <v>Sample Period (us)</v>
      </c>
      <c r="C174" s="33">
        <f>'General System Parameters'!C28</f>
        <v>1.2500000000000001E-2</v>
      </c>
      <c r="F174" s="43"/>
      <c r="G174" s="43"/>
      <c r="H174" s="43"/>
      <c r="I174" s="43"/>
      <c r="J174" s="43"/>
      <c r="K174" s="43"/>
      <c r="L174" s="43"/>
      <c r="M174" s="43"/>
      <c r="N174" s="43"/>
      <c r="O174" s="43"/>
      <c r="P174" s="43"/>
      <c r="Q174" s="43"/>
      <c r="R174" s="43"/>
      <c r="S174" s="43"/>
    </row>
    <row r="175" spans="2:19" x14ac:dyDescent="0.2">
      <c r="B175" s="37" t="str">
        <f>'General System Parameters'!B29</f>
        <v>ADC Bandwidth (MHz)</v>
      </c>
      <c r="C175" s="35">
        <f>'General System Parameters'!C29</f>
        <v>40</v>
      </c>
      <c r="F175" s="43"/>
      <c r="G175" s="43"/>
      <c r="H175" s="43"/>
      <c r="I175" s="43"/>
      <c r="J175" s="43"/>
      <c r="K175" s="43"/>
      <c r="L175" s="43"/>
      <c r="M175" s="43"/>
      <c r="N175" s="43"/>
      <c r="O175" s="43"/>
      <c r="P175" s="43"/>
      <c r="Q175" s="43"/>
      <c r="R175" s="43"/>
      <c r="S175" s="43"/>
    </row>
    <row r="176" spans="2:19" x14ac:dyDescent="0.2">
      <c r="B176" s="32" t="str">
        <f>'General System Parameters'!B30</f>
        <v>ADC Noise Level (dBm)</v>
      </c>
      <c r="C176" s="33">
        <f>'General System Parameters'!C30</f>
        <v>-65</v>
      </c>
      <c r="F176" s="43"/>
      <c r="G176" s="43"/>
      <c r="H176" s="43"/>
      <c r="I176" s="43"/>
      <c r="J176" s="43"/>
      <c r="K176" s="43"/>
      <c r="L176" s="43"/>
      <c r="M176" s="43"/>
      <c r="N176" s="43"/>
      <c r="O176" s="43"/>
      <c r="P176" s="43"/>
      <c r="Q176" s="43"/>
      <c r="R176" s="43"/>
      <c r="S176" s="43"/>
    </row>
    <row r="177" spans="2:19" x14ac:dyDescent="0.2">
      <c r="B177" s="32" t="str">
        <f>'General System Parameters'!B31</f>
        <v>Tapering Signal Gain Loss (dB) - 1st Rx</v>
      </c>
      <c r="C177" s="33">
        <f>'General System Parameters'!C31</f>
        <v>3.51</v>
      </c>
      <c r="F177" s="43"/>
      <c r="G177" s="43"/>
      <c r="H177" s="43"/>
      <c r="I177" s="43"/>
      <c r="J177" s="43"/>
      <c r="K177" s="43"/>
      <c r="L177" s="43"/>
      <c r="M177" s="43"/>
      <c r="N177" s="43"/>
      <c r="O177" s="43"/>
      <c r="P177" s="43"/>
      <c r="Q177" s="43"/>
      <c r="R177" s="43"/>
      <c r="S177" s="43"/>
    </row>
    <row r="178" spans="2:19" x14ac:dyDescent="0.2">
      <c r="B178" s="32" t="str">
        <f>'General System Parameters'!B32</f>
        <v>Tapering Noise Gain Loss (dB) - 1st Rx</v>
      </c>
      <c r="C178" s="33">
        <f>'General System Parameters'!C32</f>
        <v>3.1337000000000002</v>
      </c>
      <c r="F178" s="43"/>
      <c r="G178" s="43"/>
      <c r="H178" s="43"/>
      <c r="I178" s="43"/>
      <c r="J178" s="43"/>
      <c r="K178" s="43"/>
      <c r="L178" s="43"/>
      <c r="M178" s="43"/>
      <c r="N178" s="43"/>
      <c r="O178" s="43"/>
      <c r="P178" s="43"/>
      <c r="Q178" s="43"/>
      <c r="R178" s="43"/>
      <c r="S178" s="43"/>
    </row>
    <row r="179" spans="2:19" x14ac:dyDescent="0.2">
      <c r="B179" s="32" t="str">
        <f>'General System Parameters'!B33</f>
        <v>Tapering Signal Gain Loss (dB) - Ref (Guard) Rx</v>
      </c>
      <c r="C179" s="33">
        <f>'General System Parameters'!C33</f>
        <v>0</v>
      </c>
      <c r="F179" s="43"/>
      <c r="G179" s="43"/>
      <c r="H179" s="43"/>
      <c r="I179" s="43"/>
      <c r="J179" s="43"/>
      <c r="K179" s="43"/>
      <c r="L179" s="43"/>
      <c r="M179" s="43"/>
      <c r="N179" s="43"/>
      <c r="O179" s="43"/>
      <c r="P179" s="43"/>
      <c r="Q179" s="43"/>
      <c r="R179" s="43"/>
      <c r="S179" s="43"/>
    </row>
    <row r="180" spans="2:19" x14ac:dyDescent="0.2">
      <c r="B180" s="32" t="str">
        <f>'General System Parameters'!B34</f>
        <v>Tapering Noise Gain Loss (dB) - Ref (Guard) Rx</v>
      </c>
      <c r="C180" s="33">
        <f>'General System Parameters'!C34</f>
        <v>0</v>
      </c>
      <c r="F180" s="43"/>
      <c r="G180" s="43"/>
      <c r="H180" s="43"/>
      <c r="I180" s="43"/>
      <c r="J180" s="43"/>
      <c r="K180" s="43"/>
      <c r="L180" s="43"/>
      <c r="M180" s="43"/>
      <c r="N180" s="43"/>
      <c r="O180" s="43"/>
      <c r="P180" s="43"/>
      <c r="Q180" s="43"/>
      <c r="R180" s="43"/>
      <c r="S180" s="43"/>
    </row>
    <row r="181" spans="2:19" x14ac:dyDescent="0.2">
      <c r="B181" s="37" t="str">
        <f>'General System Parameters'!B35</f>
        <v>Tapering Rx Loss (dB)</v>
      </c>
      <c r="C181" s="35">
        <f>'General System Parameters'!C35</f>
        <v>0.37629999999999963</v>
      </c>
      <c r="F181" s="43"/>
      <c r="G181" s="43"/>
      <c r="H181" s="43"/>
      <c r="I181" s="43"/>
      <c r="J181" s="43"/>
      <c r="K181" s="43"/>
      <c r="L181" s="43"/>
      <c r="M181" s="43"/>
      <c r="N181" s="43"/>
      <c r="O181" s="43"/>
      <c r="P181" s="43"/>
      <c r="Q181" s="43"/>
      <c r="R181" s="43"/>
      <c r="S181" s="43"/>
    </row>
    <row r="182" spans="2:19" x14ac:dyDescent="0.2">
      <c r="B182" s="30" t="str">
        <f>'General System Parameters'!B36</f>
        <v>Number of T/R modules</v>
      </c>
      <c r="C182" s="31">
        <f>'General System Parameters'!C36</f>
        <v>41</v>
      </c>
      <c r="F182" s="43"/>
      <c r="G182" s="43"/>
      <c r="H182" s="43"/>
      <c r="I182" s="43"/>
      <c r="J182" s="43"/>
      <c r="K182" s="43"/>
      <c r="L182" s="43"/>
      <c r="M182" s="43"/>
      <c r="N182" s="43"/>
      <c r="O182" s="43"/>
      <c r="P182" s="43"/>
      <c r="Q182" s="43"/>
      <c r="R182" s="43"/>
      <c r="S182" s="43"/>
    </row>
    <row r="183" spans="2:19" x14ac:dyDescent="0.2">
      <c r="B183" s="30" t="str">
        <f>'General System Parameters'!B37</f>
        <v>Power per T/R module</v>
      </c>
      <c r="C183" s="31">
        <f>'General System Parameters'!C37</f>
        <v>10</v>
      </c>
      <c r="F183" s="43"/>
      <c r="G183" s="43"/>
      <c r="H183" s="43"/>
      <c r="I183" s="43"/>
      <c r="J183" s="43"/>
      <c r="K183" s="43"/>
      <c r="L183" s="43"/>
      <c r="M183" s="43"/>
      <c r="N183" s="43"/>
      <c r="O183" s="43"/>
      <c r="P183" s="43"/>
      <c r="Q183" s="43"/>
      <c r="R183" s="43"/>
      <c r="S183" s="43"/>
    </row>
    <row r="184" spans="2:19" x14ac:dyDescent="0.2">
      <c r="B184" s="30" t="str">
        <f>'General System Parameters'!B38</f>
        <v>Gain per T/R module [dB]</v>
      </c>
      <c r="C184" s="31">
        <f>'General System Parameters'!C38</f>
        <v>5</v>
      </c>
      <c r="F184" s="43"/>
      <c r="G184" s="43"/>
      <c r="H184" s="43"/>
      <c r="I184" s="43"/>
      <c r="J184" s="43"/>
      <c r="K184" s="43"/>
      <c r="L184" s="43"/>
      <c r="M184" s="43"/>
      <c r="N184" s="43"/>
      <c r="O184" s="43"/>
      <c r="P184" s="43"/>
      <c r="Q184" s="43"/>
      <c r="R184" s="43"/>
      <c r="S184" s="43"/>
    </row>
    <row r="185" spans="2:19" x14ac:dyDescent="0.2">
      <c r="B185" s="37" t="str">
        <f>'General System Parameters'!B39</f>
        <v>Available Power (dBm)</v>
      </c>
      <c r="C185" s="35">
        <f>'General System Parameters'!C39</f>
        <v>56.127838567197358</v>
      </c>
      <c r="F185" s="43"/>
      <c r="G185" s="43"/>
      <c r="H185" s="43"/>
      <c r="I185" s="43"/>
      <c r="J185" s="43"/>
      <c r="K185" s="43"/>
      <c r="L185" s="43"/>
      <c r="M185" s="43"/>
      <c r="N185" s="43"/>
      <c r="O185" s="43"/>
      <c r="P185" s="43"/>
      <c r="Q185" s="43"/>
      <c r="R185" s="43"/>
      <c r="S185" s="43"/>
    </row>
    <row r="186" spans="2:19" x14ac:dyDescent="0.2">
      <c r="B186" s="37" t="str">
        <f>'General System Parameters'!B40</f>
        <v>Gt,Gr</v>
      </c>
      <c r="C186" s="35">
        <f>'General System Parameters'!C40</f>
        <v>21.127838567197355</v>
      </c>
      <c r="F186" s="43"/>
      <c r="G186" s="43"/>
      <c r="H186" s="43"/>
      <c r="I186" s="43"/>
      <c r="J186" s="43"/>
      <c r="K186" s="43"/>
      <c r="L186" s="43"/>
      <c r="M186" s="43"/>
      <c r="N186" s="43"/>
      <c r="O186" s="43"/>
      <c r="P186" s="43"/>
      <c r="Q186" s="43"/>
      <c r="R186" s="43"/>
      <c r="S186" s="43"/>
    </row>
    <row r="187" spans="2:19" x14ac:dyDescent="0.2">
      <c r="B187" s="37" t="str">
        <f>'General System Parameters'!B41</f>
        <v>Gr - 1st Rx</v>
      </c>
      <c r="C187" s="35">
        <f>'General System Parameters'!C41</f>
        <v>15</v>
      </c>
      <c r="F187" s="43"/>
      <c r="G187" s="43"/>
      <c r="H187" s="43"/>
      <c r="I187" s="43"/>
      <c r="J187" s="43"/>
      <c r="K187" s="43"/>
      <c r="L187" s="43"/>
      <c r="M187" s="43"/>
      <c r="N187" s="43"/>
      <c r="O187" s="43"/>
      <c r="P187" s="43"/>
      <c r="Q187" s="43"/>
      <c r="R187" s="43"/>
      <c r="S187" s="43"/>
    </row>
    <row r="188" spans="2:19" x14ac:dyDescent="0.2">
      <c r="B188" s="37" t="str">
        <f>'General System Parameters'!B42</f>
        <v>Gr - Ref (Guard) Rx</v>
      </c>
      <c r="C188" s="35">
        <f>'General System Parameters'!C42</f>
        <v>5</v>
      </c>
      <c r="F188" s="43"/>
      <c r="G188" s="43"/>
      <c r="H188" s="43"/>
      <c r="I188" s="43"/>
      <c r="J188" s="43"/>
      <c r="K188" s="43"/>
      <c r="L188" s="43"/>
      <c r="M188" s="43"/>
      <c r="N188" s="43"/>
      <c r="O188" s="43"/>
      <c r="P188" s="43"/>
      <c r="Q188" s="43"/>
      <c r="R188" s="43"/>
      <c r="S188" s="43"/>
    </row>
    <row r="189" spans="2:19" x14ac:dyDescent="0.2">
      <c r="B189" s="37" t="str">
        <f>'General System Parameters'!B43</f>
        <v>λ2 (dB/m2)</v>
      </c>
      <c r="C189" s="35">
        <f>'General System Parameters'!C43</f>
        <v>-21.344946828446961</v>
      </c>
      <c r="F189" s="43"/>
      <c r="G189" s="43"/>
      <c r="H189" s="43"/>
      <c r="I189" s="43"/>
      <c r="J189" s="43"/>
      <c r="K189" s="43"/>
      <c r="L189" s="43"/>
      <c r="M189" s="43"/>
      <c r="N189" s="43"/>
      <c r="O189" s="43"/>
      <c r="P189" s="43"/>
      <c r="Q189" s="43"/>
      <c r="R189" s="43"/>
      <c r="S189" s="43"/>
    </row>
    <row r="190" spans="2:19" x14ac:dyDescent="0.2">
      <c r="B190" s="34" t="str">
        <f>'General System Parameters'!B44</f>
        <v>(4p)^3 (dB)</v>
      </c>
      <c r="C190" s="35">
        <f>'General System Parameters'!C44</f>
        <v>32.976295920662885</v>
      </c>
      <c r="F190" s="43"/>
      <c r="G190" s="43"/>
      <c r="H190" s="43"/>
      <c r="I190" s="43"/>
      <c r="J190" s="43"/>
      <c r="K190" s="43"/>
      <c r="L190" s="43"/>
      <c r="M190" s="43"/>
      <c r="N190" s="43"/>
      <c r="O190" s="43"/>
      <c r="P190" s="43"/>
      <c r="Q190" s="43"/>
      <c r="R190" s="43"/>
      <c r="S190" s="43"/>
    </row>
    <row r="191" spans="2:19" x14ac:dyDescent="0.2">
      <c r="B191" s="34" t="str">
        <f>'General System Parameters'!B45</f>
        <v>Miscellaneous Losses (dB)</v>
      </c>
      <c r="C191" s="35">
        <f>'General System Parameters'!C45</f>
        <v>0</v>
      </c>
      <c r="F191" s="43"/>
      <c r="G191" s="43"/>
      <c r="H191" s="43"/>
      <c r="I191" s="43"/>
      <c r="J191" s="43"/>
      <c r="K191" s="43"/>
      <c r="L191" s="43"/>
      <c r="M191" s="43"/>
      <c r="N191" s="43"/>
      <c r="O191" s="43"/>
      <c r="P191" s="43"/>
      <c r="Q191" s="43"/>
      <c r="R191" s="43"/>
      <c r="S191" s="43"/>
    </row>
    <row r="192" spans="2:19" x14ac:dyDescent="0.2">
      <c r="B192" s="36" t="str">
        <f>'General System Parameters'!B46</f>
        <v>FFT Window: BH</v>
      </c>
      <c r="C192" s="31" t="str">
        <f>'General System Parameters'!C46</f>
        <v>BH</v>
      </c>
      <c r="F192" s="43"/>
      <c r="G192" s="43"/>
      <c r="H192" s="43"/>
      <c r="I192" s="43"/>
      <c r="J192" s="43"/>
      <c r="K192" s="43"/>
      <c r="L192" s="43"/>
      <c r="M192" s="43"/>
      <c r="N192" s="43"/>
      <c r="O192" s="43"/>
      <c r="P192" s="43"/>
      <c r="Q192" s="43"/>
      <c r="R192" s="43"/>
      <c r="S192" s="43"/>
    </row>
    <row r="193" spans="2:19" x14ac:dyDescent="0.2">
      <c r="B193" s="34" t="str">
        <f>'General System Parameters'!B47</f>
        <v>Signal Gain Loss (dB)</v>
      </c>
      <c r="C193" s="35">
        <f>'General System Parameters'!C47</f>
        <v>8.9499999999999993</v>
      </c>
      <c r="F193" s="43"/>
      <c r="G193" s="43"/>
      <c r="H193" s="43"/>
      <c r="I193" s="43"/>
      <c r="J193" s="43"/>
      <c r="K193" s="43"/>
      <c r="L193" s="43"/>
      <c r="M193" s="43"/>
      <c r="N193" s="43"/>
      <c r="O193" s="43"/>
      <c r="P193" s="43"/>
      <c r="Q193" s="43"/>
      <c r="R193" s="43"/>
      <c r="S193" s="43"/>
    </row>
    <row r="194" spans="2:19" x14ac:dyDescent="0.2">
      <c r="B194" s="34" t="str">
        <f>'General System Parameters'!B48</f>
        <v>Noise Gain Loss (dB)</v>
      </c>
      <c r="C194" s="35">
        <f>'General System Parameters'!C48</f>
        <v>5.9</v>
      </c>
      <c r="F194" s="43"/>
      <c r="G194" s="43"/>
      <c r="H194" s="43"/>
      <c r="I194" s="43"/>
      <c r="J194" s="43"/>
      <c r="K194" s="43"/>
      <c r="L194" s="43"/>
      <c r="M194" s="43"/>
      <c r="N194" s="43"/>
      <c r="O194" s="43"/>
      <c r="P194" s="43"/>
      <c r="Q194" s="43"/>
      <c r="R194" s="43"/>
      <c r="S194" s="43"/>
    </row>
    <row r="195" spans="2:19" x14ac:dyDescent="0.2">
      <c r="B195" s="34" t="str">
        <f>'General System Parameters'!B49</f>
        <v>Normalized ENBW (dB)</v>
      </c>
      <c r="C195" s="35">
        <f>'General System Parameters'!C49</f>
        <v>3.0499999999999989</v>
      </c>
      <c r="F195" s="43"/>
      <c r="G195" s="43"/>
      <c r="H195" s="43"/>
      <c r="I195" s="43"/>
      <c r="J195" s="43"/>
      <c r="K195" s="43"/>
      <c r="L195" s="43"/>
      <c r="M195" s="43"/>
      <c r="N195" s="43"/>
      <c r="O195" s="43"/>
      <c r="P195" s="43"/>
      <c r="Q195" s="43"/>
      <c r="R195" s="43"/>
      <c r="S195" s="43"/>
    </row>
    <row r="196" spans="2:19" x14ac:dyDescent="0.2">
      <c r="B196" s="34" t="str">
        <f>'General System Parameters'!B50</f>
        <v>Window 3dB BW (bins)</v>
      </c>
      <c r="C196" s="35">
        <f>'General System Parameters'!C50</f>
        <v>1.9</v>
      </c>
      <c r="F196" s="43"/>
      <c r="G196" s="43"/>
      <c r="H196" s="43"/>
      <c r="I196" s="43"/>
      <c r="J196" s="43"/>
      <c r="K196" s="43"/>
      <c r="L196" s="43"/>
      <c r="M196" s="43"/>
      <c r="N196" s="43"/>
      <c r="O196" s="43"/>
      <c r="P196" s="43"/>
      <c r="Q196" s="43"/>
      <c r="R196" s="43"/>
      <c r="S196" s="43"/>
    </row>
    <row r="197" spans="2:19" x14ac:dyDescent="0.2">
      <c r="B197" s="34" t="str">
        <f>'General System Parameters'!B51</f>
        <v>Window 6dB BW (bins)</v>
      </c>
      <c r="C197" s="35">
        <f>'General System Parameters'!C51</f>
        <v>2.72</v>
      </c>
      <c r="F197" s="43"/>
      <c r="G197" s="43"/>
      <c r="H197" s="43"/>
      <c r="I197" s="43"/>
      <c r="J197" s="43"/>
      <c r="K197" s="43"/>
      <c r="L197" s="43"/>
      <c r="M197" s="43"/>
      <c r="N197" s="43"/>
      <c r="O197" s="43"/>
      <c r="P197" s="43"/>
      <c r="Q197" s="43"/>
      <c r="R197" s="43"/>
      <c r="S197" s="43"/>
    </row>
    <row r="198" spans="2:19" x14ac:dyDescent="0.2">
      <c r="B198" s="34" t="str">
        <f>'General System Parameters'!B52</f>
        <v>Scallop Loss (dB)</v>
      </c>
      <c r="C198" s="35">
        <f>'General System Parameters'!C52</f>
        <v>0.41278500000000001</v>
      </c>
      <c r="F198" s="43"/>
      <c r="G198" s="43"/>
      <c r="H198" s="43"/>
      <c r="I198" s="43"/>
      <c r="J198" s="43"/>
      <c r="K198" s="43"/>
      <c r="L198" s="43"/>
      <c r="M198" s="43"/>
      <c r="N198" s="43"/>
      <c r="O198" s="43"/>
      <c r="P198" s="43"/>
      <c r="Q198" s="43"/>
      <c r="R198" s="43"/>
      <c r="S198" s="43"/>
    </row>
    <row r="199" spans="2:19" x14ac:dyDescent="0.2">
      <c r="B199" s="32" t="str">
        <f>'General System Parameters'!B53</f>
        <v>Rectangular 6dB BW (bins)</v>
      </c>
      <c r="C199" s="33">
        <f>'General System Parameters'!C53</f>
        <v>1.21</v>
      </c>
      <c r="F199" s="43"/>
      <c r="G199" s="43"/>
      <c r="H199" s="43"/>
      <c r="I199" s="43"/>
      <c r="J199" s="43"/>
      <c r="K199" s="43"/>
      <c r="L199" s="43"/>
      <c r="M199" s="43"/>
      <c r="N199" s="43"/>
      <c r="O199" s="43"/>
      <c r="P199" s="43"/>
      <c r="Q199" s="43"/>
      <c r="R199" s="43"/>
      <c r="S199" s="43"/>
    </row>
    <row r="200" spans="2:19" x14ac:dyDescent="0.2">
      <c r="B200" s="34" t="str">
        <f>'General System Parameters'!B54</f>
        <v>Window Peak Spreading (bins)</v>
      </c>
      <c r="C200" s="35">
        <f>'General System Parameters'!C54</f>
        <v>9</v>
      </c>
      <c r="F200" s="43"/>
      <c r="G200" s="43"/>
      <c r="H200" s="43"/>
      <c r="I200" s="43"/>
      <c r="J200" s="43"/>
      <c r="K200" s="43"/>
      <c r="L200" s="43"/>
      <c r="M200" s="43"/>
      <c r="N200" s="43"/>
      <c r="O200" s="43"/>
      <c r="P200" s="43"/>
      <c r="Q200" s="43"/>
      <c r="R200" s="43"/>
      <c r="S200" s="43"/>
    </row>
    <row r="201" spans="2:19" x14ac:dyDescent="0.2">
      <c r="B201" s="36" t="str">
        <f>'General System Parameters'!B55</f>
        <v>#samples for noise estimation</v>
      </c>
      <c r="C201" s="31">
        <f>'General System Parameters'!C55</f>
        <v>12</v>
      </c>
      <c r="F201" s="43"/>
      <c r="G201" s="43"/>
      <c r="H201" s="43"/>
      <c r="I201" s="43"/>
      <c r="J201" s="43"/>
      <c r="K201" s="43"/>
      <c r="L201" s="43"/>
      <c r="M201" s="43"/>
      <c r="N201" s="43"/>
      <c r="O201" s="43"/>
      <c r="P201" s="43"/>
      <c r="Q201" s="43"/>
      <c r="R201" s="43"/>
      <c r="S201" s="43"/>
    </row>
    <row r="202" spans="2:19" x14ac:dyDescent="0.2">
      <c r="B202" s="34" t="str">
        <f>'General System Parameters'!B56</f>
        <v>Straddling Loss (dB) - w/o OL</v>
      </c>
      <c r="C202" s="35">
        <f>'General System Parameters'!C56</f>
        <v>3</v>
      </c>
    </row>
    <row r="203" spans="2:19" x14ac:dyDescent="0.2">
      <c r="B203" s="34" t="str">
        <f>'General System Parameters'!B57</f>
        <v>Straddling Loss (dB) - with 50% OL</v>
      </c>
      <c r="C203" s="35">
        <f>'General System Parameters'!C57</f>
        <v>1.25</v>
      </c>
    </row>
    <row r="204" spans="2:19" x14ac:dyDescent="0.2">
      <c r="B204" s="30" t="str">
        <f>'General System Parameters'!B58</f>
        <v>Freq Desynchronization factor (ppb)</v>
      </c>
      <c r="C204" s="31">
        <f>'General System Parameters'!C58</f>
        <v>5</v>
      </c>
    </row>
    <row r="205" spans="2:19" x14ac:dyDescent="0.2">
      <c r="B205" s="34" t="str">
        <f>'General System Parameters'!B59</f>
        <v>Freq Desynchronization factor (Hz)</v>
      </c>
      <c r="C205" s="35">
        <f>'General System Parameters'!C59</f>
        <v>17.5</v>
      </c>
    </row>
    <row r="206" spans="2:19" x14ac:dyDescent="0.2">
      <c r="B206" s="34" t="str">
        <f>'General System Parameters'!B60</f>
        <v>Freq Desynchronization factor (m/s)</v>
      </c>
      <c r="C206" s="35">
        <f>'General System Parameters'!C60</f>
        <v>0.74948114500000007</v>
      </c>
    </row>
    <row r="207" spans="2:19" x14ac:dyDescent="0.2">
      <c r="B207" s="30" t="str">
        <f>'General System Parameters'!B61</f>
        <v>Time Desynchronization factor (ppm)</v>
      </c>
      <c r="C207" s="31">
        <f>'General System Parameters'!C61</f>
        <v>0.2</v>
      </c>
    </row>
    <row r="208" spans="2:19" x14ac:dyDescent="0.2">
      <c r="B208" s="30" t="str">
        <f>'General System Parameters'!B62</f>
        <v>Synchronization window per seq (μs)</v>
      </c>
      <c r="C208" s="31">
        <f>'General System Parameters'!C62</f>
        <v>0.1</v>
      </c>
    </row>
    <row r="209" spans="2:3" x14ac:dyDescent="0.2">
      <c r="B209" s="117" t="str">
        <f>'General System Parameters'!B63</f>
        <v>#RG in Optimized Mode (one side)</v>
      </c>
      <c r="C209" s="118">
        <f>'General System Parameters'!C63</f>
        <v>7</v>
      </c>
    </row>
    <row r="210" spans="2:3" x14ac:dyDescent="0.2">
      <c r="B210" s="30" t="str">
        <f>'General System Parameters'!B64</f>
        <v>Total #RG in Optimized Mode</v>
      </c>
      <c r="C210" s="31">
        <f>'General System Parameters'!C64</f>
        <v>15</v>
      </c>
    </row>
  </sheetData>
  <mergeCells count="4">
    <mergeCell ref="B150:D150"/>
    <mergeCell ref="C1:D1"/>
    <mergeCell ref="E1:T1"/>
    <mergeCell ref="B145:D145"/>
  </mergeCells>
  <conditionalFormatting sqref="D61">
    <cfRule type="cellIs" dxfId="30" priority="5" operator="greaterThan">
      <formula>3</formula>
    </cfRule>
  </conditionalFormatting>
  <conditionalFormatting sqref="D59">
    <cfRule type="expression" dxfId="29" priority="4">
      <formula>AND(D$59 &gt; D$50, D$49&gt;1)</formula>
    </cfRule>
  </conditionalFormatting>
  <conditionalFormatting sqref="C61">
    <cfRule type="cellIs" dxfId="28" priority="3" operator="greaterThan">
      <formula>3</formula>
    </cfRule>
  </conditionalFormatting>
  <conditionalFormatting sqref="C49">
    <cfRule type="cellIs" dxfId="27" priority="2" operator="greaterThan">
      <formula>"2&amp;&amp;$C$57&gt;$C$58"</formula>
    </cfRule>
  </conditionalFormatting>
  <conditionalFormatting sqref="C59">
    <cfRule type="expression" dxfId="26" priority="1">
      <formula>AND($C$61 &gt; $C$52, $C$51&gt;1)</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Z210"/>
  <sheetViews>
    <sheetView topLeftCell="A34" workbookViewId="0">
      <selection activeCell="C59" sqref="C59:D59"/>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20" t="str">
        <f>'Parameters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'Parameters List'!B4</f>
        <v>Antenna Number (1 or 2)</v>
      </c>
      <c r="C4" s="49"/>
      <c r="D4" s="49"/>
      <c r="E4" s="50">
        <v>1</v>
      </c>
      <c r="F4" s="50">
        <v>1</v>
      </c>
      <c r="G4" s="50">
        <v>1</v>
      </c>
      <c r="H4" s="50">
        <v>1</v>
      </c>
      <c r="I4" s="50">
        <v>1</v>
      </c>
      <c r="J4" s="50">
        <v>1</v>
      </c>
      <c r="K4" s="50">
        <v>1</v>
      </c>
      <c r="L4" s="50">
        <v>1</v>
      </c>
      <c r="M4" s="50">
        <v>1</v>
      </c>
      <c r="N4" s="50">
        <v>1</v>
      </c>
      <c r="O4" s="50">
        <v>1</v>
      </c>
      <c r="P4" s="50">
        <v>1</v>
      </c>
      <c r="Q4" s="50">
        <v>1</v>
      </c>
      <c r="R4" s="50">
        <v>1</v>
      </c>
      <c r="S4" s="50">
        <v>1</v>
      </c>
      <c r="T4" s="50">
        <v>1</v>
      </c>
      <c r="U4" s="50">
        <v>1</v>
      </c>
      <c r="V4" s="50">
        <v>1</v>
      </c>
      <c r="W4" s="50">
        <v>1</v>
      </c>
      <c r="X4" s="50">
        <v>1</v>
      </c>
      <c r="Y4" s="50">
        <v>1</v>
      </c>
      <c r="Z4" s="50">
        <v>1</v>
      </c>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'Parameters List'!B5</f>
        <v>Steer Az (clockwise - positive)</v>
      </c>
      <c r="C5" s="49"/>
      <c r="D5" s="49"/>
      <c r="E5" s="50">
        <v>-37.5</v>
      </c>
      <c r="F5" s="50">
        <v>-29.5</v>
      </c>
      <c r="G5" s="50">
        <v>-21.5</v>
      </c>
      <c r="H5" s="50">
        <v>-13.5</v>
      </c>
      <c r="I5" s="50">
        <v>-5.5</v>
      </c>
      <c r="J5" s="50">
        <v>2.5</v>
      </c>
      <c r="K5" s="50">
        <v>10.5</v>
      </c>
      <c r="L5" s="50">
        <v>18.5</v>
      </c>
      <c r="M5" s="50">
        <v>26.5</v>
      </c>
      <c r="N5" s="50">
        <v>34.5</v>
      </c>
      <c r="O5" s="50">
        <v>42.5</v>
      </c>
      <c r="P5" s="50">
        <v>-42.5</v>
      </c>
      <c r="Q5" s="50">
        <v>-34.5</v>
      </c>
      <c r="R5" s="50">
        <v>-26.5</v>
      </c>
      <c r="S5" s="50">
        <v>-18.5</v>
      </c>
      <c r="T5" s="50">
        <v>-10.5</v>
      </c>
      <c r="U5" s="50">
        <v>-2.5</v>
      </c>
      <c r="V5" s="50">
        <v>5.5</v>
      </c>
      <c r="W5" s="50">
        <v>13.5</v>
      </c>
      <c r="X5" s="50">
        <v>21.5</v>
      </c>
      <c r="Y5" s="50">
        <v>29.5</v>
      </c>
      <c r="Z5" s="50">
        <v>37.5</v>
      </c>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'Parameters List'!B6</f>
        <v>Steer El (up - positive)</v>
      </c>
      <c r="C6" s="49"/>
      <c r="D6" s="49"/>
      <c r="E6" s="50">
        <v>5</v>
      </c>
      <c r="F6" s="50">
        <v>5</v>
      </c>
      <c r="G6" s="50">
        <v>5</v>
      </c>
      <c r="H6" s="50">
        <v>5</v>
      </c>
      <c r="I6" s="50">
        <v>5</v>
      </c>
      <c r="J6" s="50">
        <v>5</v>
      </c>
      <c r="K6" s="50">
        <v>5</v>
      </c>
      <c r="L6" s="50">
        <v>5</v>
      </c>
      <c r="M6" s="50">
        <v>5</v>
      </c>
      <c r="N6" s="50">
        <v>5</v>
      </c>
      <c r="O6" s="50">
        <v>5</v>
      </c>
      <c r="P6" s="50">
        <v>13</v>
      </c>
      <c r="Q6" s="50">
        <v>13</v>
      </c>
      <c r="R6" s="50">
        <v>13</v>
      </c>
      <c r="S6" s="50">
        <v>13</v>
      </c>
      <c r="T6" s="50">
        <v>13</v>
      </c>
      <c r="U6" s="50">
        <v>13</v>
      </c>
      <c r="V6" s="50">
        <v>13</v>
      </c>
      <c r="W6" s="50">
        <v>13</v>
      </c>
      <c r="X6" s="50">
        <v>13</v>
      </c>
      <c r="Y6" s="50">
        <v>13</v>
      </c>
      <c r="Z6" s="50">
        <v>13</v>
      </c>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'Parameters List'!B9</f>
        <v>Antenna Number (1 or 2)</v>
      </c>
      <c r="C9" s="49"/>
      <c r="D9" s="49"/>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'Parameters List'!B10</f>
        <v>Steer Az (clockwise - positive)</v>
      </c>
      <c r="C10" s="49"/>
      <c r="D10" s="49"/>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'Parameters List'!B11</f>
        <v>Steer El (up - positive)</v>
      </c>
      <c r="C11" s="49"/>
      <c r="D11" s="49"/>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'Parameters List'!B13</f>
        <v>Processing Channel Number (1 or 2)</v>
      </c>
      <c r="C13" s="49"/>
      <c r="D13" s="49"/>
      <c r="E13" s="33">
        <v>1</v>
      </c>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'Parameters List'!B14</f>
        <v>Beam type (relative to processing channel)</v>
      </c>
      <c r="C14" s="49"/>
      <c r="D14" s="49"/>
      <c r="E14" s="33">
        <v>1</v>
      </c>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'Parameters List'!B15</f>
        <v>Stagger number (1 or 2)</v>
      </c>
      <c r="C15" s="58"/>
      <c r="D15" s="58"/>
      <c r="E15" s="33">
        <v>1</v>
      </c>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'Parameters List'!B16</f>
        <v>Receiving Patch Group (1 or 2)</v>
      </c>
      <c r="C16" s="58"/>
      <c r="D16" s="58"/>
      <c r="E16" s="33">
        <v>1</v>
      </c>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'Parameters List'!B17</f>
        <v>Tracking (0 or 1)</v>
      </c>
      <c r="C17" s="58"/>
      <c r="D17" s="58"/>
      <c r="E17" s="33">
        <v>0</v>
      </c>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'Parameters List'!B18</f>
        <v>Stagger PRI Sequence (Chip Units)</v>
      </c>
      <c r="C18" s="58"/>
      <c r="D18" s="58"/>
      <c r="E18" s="123">
        <f t="shared" ref="E18:AJ18" si="0">IF(E$13=1, (E$14-1)*$C$31,IF(E$13=2,((E$14-1)*$D$31),""))</f>
        <v>0</v>
      </c>
      <c r="F18" s="123" t="str">
        <f t="shared" si="0"/>
        <v/>
      </c>
      <c r="G18" s="123" t="str">
        <f t="shared" si="0"/>
        <v/>
      </c>
      <c r="H18" s="123" t="str">
        <f t="shared" si="0"/>
        <v/>
      </c>
      <c r="I18" s="123" t="str">
        <f t="shared" si="0"/>
        <v/>
      </c>
      <c r="J18" s="123" t="str">
        <f t="shared" si="0"/>
        <v/>
      </c>
      <c r="K18" s="123" t="str">
        <f t="shared" si="0"/>
        <v/>
      </c>
      <c r="L18" s="123" t="str">
        <f t="shared" si="0"/>
        <v/>
      </c>
      <c r="M18" s="123" t="str">
        <f t="shared" si="0"/>
        <v/>
      </c>
      <c r="N18" s="123" t="str">
        <f t="shared" si="0"/>
        <v/>
      </c>
      <c r="O18" s="123" t="str">
        <f t="shared" si="0"/>
        <v/>
      </c>
      <c r="P18" s="123" t="str">
        <f t="shared" si="0"/>
        <v/>
      </c>
      <c r="Q18" s="123" t="str">
        <f t="shared" si="0"/>
        <v/>
      </c>
      <c r="R18" s="123" t="str">
        <f t="shared" si="0"/>
        <v/>
      </c>
      <c r="S18" s="123" t="str">
        <f t="shared" si="0"/>
        <v/>
      </c>
      <c r="T18" s="123" t="str">
        <f t="shared" si="0"/>
        <v/>
      </c>
      <c r="U18" s="123" t="str">
        <f t="shared" si="0"/>
        <v/>
      </c>
      <c r="V18" s="123" t="str">
        <f t="shared" si="0"/>
        <v/>
      </c>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CONCATENATE('XML File Parameters'!D2," XMLver",'XML File Parameters'!D3,".",'XML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'Parameters List'!B21</f>
        <v>Apply RG Optimization</v>
      </c>
      <c r="C21" s="64">
        <v>0</v>
      </c>
      <c r="D21" s="64">
        <v>0</v>
      </c>
      <c r="F21" s="43"/>
      <c r="G21" s="43"/>
      <c r="H21" s="43"/>
      <c r="I21" s="43"/>
      <c r="J21" s="43"/>
      <c r="K21" s="43"/>
      <c r="L21" s="43"/>
      <c r="M21" s="43"/>
      <c r="N21" s="43"/>
      <c r="O21" s="43"/>
      <c r="P21" s="43"/>
      <c r="Q21" s="43"/>
      <c r="R21" s="43"/>
      <c r="S21" s="43"/>
    </row>
    <row r="22" spans="1:78" x14ac:dyDescent="0.2">
      <c r="A22" s="91" t="s">
        <v>78</v>
      </c>
      <c r="B22" s="104" t="str">
        <f>'Parameters List'!B22</f>
        <v>Sequential Repetition</v>
      </c>
      <c r="C22" s="64">
        <v>22</v>
      </c>
      <c r="D22" s="64">
        <v>2</v>
      </c>
      <c r="F22" s="43"/>
      <c r="G22" s="43"/>
      <c r="H22" s="43"/>
      <c r="I22" s="43"/>
      <c r="J22" s="43"/>
      <c r="K22" s="43"/>
      <c r="L22" s="43"/>
      <c r="M22" s="43"/>
      <c r="N22" s="43"/>
      <c r="O22" s="43"/>
      <c r="P22" s="43"/>
      <c r="Q22" s="43"/>
      <c r="R22" s="43"/>
      <c r="S22" s="43"/>
    </row>
    <row r="23" spans="1:78" x14ac:dyDescent="0.2">
      <c r="A23" s="91" t="s">
        <v>78</v>
      </c>
      <c r="B23" s="104" t="str">
        <f>'Parameters List'!B23</f>
        <v>Max Dets to process</v>
      </c>
      <c r="C23" s="64">
        <v>64</v>
      </c>
      <c r="D23" s="64">
        <v>40</v>
      </c>
      <c r="E23" s="65"/>
      <c r="F23" s="43"/>
      <c r="G23" s="43"/>
      <c r="H23" s="43"/>
      <c r="I23" s="43"/>
      <c r="J23" s="43"/>
      <c r="K23" s="43"/>
      <c r="L23" s="43"/>
      <c r="M23" s="43"/>
      <c r="N23" s="43"/>
      <c r="O23" s="43"/>
      <c r="P23" s="43"/>
      <c r="Q23" s="43"/>
      <c r="R23" s="43"/>
      <c r="S23" s="43"/>
    </row>
    <row r="24" spans="1:78" x14ac:dyDescent="0.2">
      <c r="A24" s="91"/>
      <c r="B24" s="95" t="str">
        <f>'Parameters List'!B24</f>
        <v>Number of Steers</v>
      </c>
      <c r="C24" s="33">
        <f>COUNTIF(E$4:BP$4,"&gt;0")</f>
        <v>22</v>
      </c>
      <c r="D24" s="33">
        <f>COUNTIF(E$9:BP$9,"&gt;0")</f>
        <v>0</v>
      </c>
      <c r="E24" s="65"/>
      <c r="F24" s="43"/>
      <c r="G24" s="43"/>
      <c r="H24" s="43"/>
      <c r="I24" s="43"/>
      <c r="J24" s="43"/>
      <c r="K24" s="43"/>
      <c r="L24" s="43"/>
      <c r="M24" s="43"/>
      <c r="N24" s="43"/>
      <c r="O24" s="43"/>
      <c r="P24" s="43"/>
      <c r="Q24" s="43"/>
      <c r="R24" s="43"/>
      <c r="S24" s="43"/>
    </row>
    <row r="25" spans="1:78" x14ac:dyDescent="0.2">
      <c r="A25" s="91"/>
      <c r="B25" s="95" t="str">
        <f>'Parameters List'!B25</f>
        <v>Number of Beam Types</v>
      </c>
      <c r="C25" s="33">
        <f>COUNTIFS($E$13:$AJ$13,"=1",$E$15:$AJ$15,"=1")</f>
        <v>1</v>
      </c>
      <c r="D25" s="33">
        <f>COUNTIFS($E$13:$AJ$13,"=2",$E$15:$AJ$15,"=1")</f>
        <v>0</v>
      </c>
      <c r="E25" s="65"/>
      <c r="F25" s="43"/>
      <c r="G25" s="43"/>
      <c r="H25" s="43"/>
      <c r="I25" s="43"/>
      <c r="J25" s="43"/>
      <c r="K25" s="43"/>
      <c r="L25" s="43"/>
      <c r="M25" s="43"/>
      <c r="N25" s="43"/>
      <c r="O25" s="43"/>
      <c r="P25" s="43"/>
      <c r="Q25" s="43"/>
      <c r="R25" s="43"/>
      <c r="S25" s="43"/>
    </row>
    <row r="26" spans="1:78" x14ac:dyDescent="0.2">
      <c r="A26" s="91"/>
      <c r="B26" s="95" t="str">
        <f>'Parameters List'!B26</f>
        <v>Number of Beams</v>
      </c>
      <c r="C26" s="33">
        <f>COUNTIF($E$13:$AJ$13,"=1")</f>
        <v>1</v>
      </c>
      <c r="D26" s="33">
        <f>COUNTIF($E$13:$AJ$13,"=2")</f>
        <v>0</v>
      </c>
      <c r="E26" s="65"/>
      <c r="F26" s="43"/>
      <c r="G26" s="43"/>
      <c r="H26" s="43"/>
      <c r="I26" s="43"/>
      <c r="J26" s="43"/>
      <c r="K26" s="43"/>
      <c r="L26" s="43"/>
      <c r="M26" s="43"/>
      <c r="N26" s="43"/>
      <c r="O26" s="43"/>
      <c r="P26" s="43"/>
      <c r="Q26" s="43"/>
      <c r="R26" s="43"/>
      <c r="S26" s="43"/>
    </row>
    <row r="27" spans="1:78" x14ac:dyDescent="0.2">
      <c r="A27" s="91"/>
      <c r="B27" s="95" t="str">
        <f>'Parameters List'!B27</f>
        <v>Number of Beams at Antenna1</v>
      </c>
      <c r="C27" s="33">
        <f>IF(COUNTIF($E$4:$BP$4,"=1")&gt;=C$25,C$26,COUNTIF($E$4:$BP$4,"=1")*C$26/C$25)</f>
        <v>1</v>
      </c>
      <c r="D27" s="33">
        <f>IF(COUNTIF($E$9:$BP$9,"=1")&gt;=D$25,D$26,COUNTIF($E$9:$BP$9,"=1")*D$26/D$25)</f>
        <v>0</v>
      </c>
      <c r="E27" s="65"/>
      <c r="F27" s="43"/>
      <c r="G27" s="43"/>
      <c r="H27" s="43"/>
      <c r="I27" s="43"/>
      <c r="J27" s="43"/>
      <c r="K27" s="43"/>
      <c r="L27" s="43"/>
      <c r="M27" s="43"/>
      <c r="N27" s="43"/>
      <c r="O27" s="43"/>
      <c r="P27" s="43"/>
      <c r="Q27" s="43"/>
      <c r="R27" s="43"/>
      <c r="S27" s="43"/>
    </row>
    <row r="28" spans="1:78" x14ac:dyDescent="0.2">
      <c r="A28" s="91"/>
      <c r="B28" s="95" t="str">
        <f>'Parameters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'Parameters List'!B29</f>
        <v>Desired CPI (ms)</v>
      </c>
      <c r="C29" s="64">
        <v>50</v>
      </c>
      <c r="D29" s="64">
        <v>5</v>
      </c>
      <c r="G29" s="43"/>
      <c r="H29" s="43"/>
      <c r="I29" s="43"/>
      <c r="J29" s="43"/>
      <c r="K29" s="43"/>
      <c r="L29" s="43"/>
      <c r="M29" s="43"/>
      <c r="N29" s="43"/>
      <c r="O29" s="43"/>
      <c r="P29" s="43"/>
      <c r="Q29" s="43"/>
      <c r="R29" s="43"/>
      <c r="S29" s="43"/>
    </row>
    <row r="30" spans="1:78" x14ac:dyDescent="0.2">
      <c r="A30" s="91" t="s">
        <v>78</v>
      </c>
      <c r="B30" s="95" t="str">
        <f>'Parameters List'!B30</f>
        <v>Actual CPI (ms)</v>
      </c>
      <c r="C30" s="33">
        <f>(C$49*$C$104*C$51)/1000</f>
        <v>49.254400000000004</v>
      </c>
      <c r="D30" s="33">
        <f>(D$49*$C$104*D$51)/1000</f>
        <v>4.6176000000000004</v>
      </c>
      <c r="F30" s="43"/>
      <c r="G30" s="43"/>
      <c r="H30" s="43"/>
      <c r="I30" s="43"/>
      <c r="J30" s="43"/>
      <c r="K30" s="43"/>
      <c r="L30" s="43"/>
      <c r="M30" s="43"/>
      <c r="N30" s="43"/>
      <c r="O30" s="43"/>
      <c r="P30" s="43"/>
      <c r="Q30" s="43"/>
      <c r="R30" s="43"/>
      <c r="S30" s="43"/>
    </row>
    <row r="31" spans="1:78" x14ac:dyDescent="0.2">
      <c r="A31" s="91" t="s">
        <v>78</v>
      </c>
      <c r="B31" s="94" t="str">
        <f>'Parameters List'!B31</f>
        <v>Multi Stagger - PRI Ext (in Chip Units)</v>
      </c>
      <c r="C31" s="64">
        <v>0</v>
      </c>
      <c r="D31" s="64">
        <v>0</v>
      </c>
      <c r="E31" s="65"/>
      <c r="F31" s="119"/>
      <c r="G31" s="43"/>
      <c r="H31" s="43"/>
      <c r="I31" s="43"/>
      <c r="J31" s="43"/>
      <c r="K31" s="43"/>
      <c r="L31" s="43"/>
      <c r="M31" s="43"/>
      <c r="N31" s="43"/>
      <c r="O31" s="43"/>
      <c r="P31" s="43"/>
      <c r="Q31" s="43"/>
      <c r="R31" s="43"/>
      <c r="S31" s="43"/>
    </row>
    <row r="32" spans="1:78" x14ac:dyDescent="0.2">
      <c r="A32" s="91" t="s">
        <v>78</v>
      </c>
      <c r="B32" s="94" t="str">
        <f>'Parameters List'!B32</f>
        <v>Stagger1 PRI (µs)</v>
      </c>
      <c r="C32" s="64">
        <v>48</v>
      </c>
      <c r="D32" s="64">
        <v>14</v>
      </c>
      <c r="F32" s="43"/>
      <c r="G32" s="43"/>
      <c r="H32" s="43"/>
      <c r="I32" s="43"/>
      <c r="J32" s="43"/>
      <c r="K32" s="43"/>
      <c r="L32" s="43"/>
      <c r="M32" s="43"/>
      <c r="N32" s="43"/>
      <c r="O32" s="43"/>
      <c r="P32" s="43"/>
      <c r="Q32" s="43"/>
      <c r="R32" s="43"/>
      <c r="S32" s="43"/>
    </row>
    <row r="33" spans="1:19" x14ac:dyDescent="0.2">
      <c r="A33" s="91" t="s">
        <v>78</v>
      </c>
      <c r="B33" s="94" t="str">
        <f>'Parameters List'!B33</f>
        <v>Stagger2 PRI (µs)</v>
      </c>
      <c r="C33" s="64">
        <v>48</v>
      </c>
      <c r="D33" s="64">
        <v>0</v>
      </c>
      <c r="F33" s="43"/>
      <c r="G33" s="43"/>
      <c r="H33" s="43"/>
      <c r="I33" s="43"/>
      <c r="J33" s="43"/>
      <c r="K33" s="43"/>
      <c r="L33" s="43"/>
      <c r="M33" s="43"/>
      <c r="N33" s="43"/>
      <c r="O33" s="43"/>
      <c r="P33" s="43"/>
      <c r="Q33" s="43"/>
      <c r="R33" s="43"/>
      <c r="S33" s="43"/>
    </row>
    <row r="34" spans="1:19" x14ac:dyDescent="0.2">
      <c r="A34" s="91" t="s">
        <v>81</v>
      </c>
      <c r="B34" s="95" t="str">
        <f>'Parameters List'!B34</f>
        <v>Number of Staggers (1 or 2)</v>
      </c>
      <c r="C34" s="67">
        <f>1*(C$32&lt;&gt;0)+1*(C$33&lt;&gt;0)</f>
        <v>2</v>
      </c>
      <c r="D34" s="67">
        <f>1*(D$32&lt;&gt;0)+1*(D$33&lt;&gt;0)</f>
        <v>1</v>
      </c>
      <c r="F34" s="43"/>
      <c r="G34" s="43"/>
      <c r="H34" s="43"/>
      <c r="I34" s="43"/>
      <c r="J34" s="43"/>
      <c r="K34" s="43"/>
      <c r="L34" s="43"/>
      <c r="M34" s="43"/>
      <c r="N34" s="43"/>
      <c r="O34" s="43"/>
      <c r="P34" s="43"/>
      <c r="Q34" s="43"/>
      <c r="R34" s="43"/>
      <c r="S34" s="43"/>
    </row>
    <row r="35" spans="1:19" x14ac:dyDescent="0.2">
      <c r="A35" s="91"/>
      <c r="B35" s="94" t="str">
        <f>'Parameters List'!B35</f>
        <v>Stagger Loss (dB)</v>
      </c>
      <c r="C35" s="64">
        <v>0</v>
      </c>
      <c r="D35" s="64">
        <v>3.01</v>
      </c>
      <c r="F35" s="43"/>
      <c r="G35" s="43"/>
      <c r="H35" s="43"/>
      <c r="I35" s="43"/>
      <c r="J35" s="43"/>
      <c r="K35" s="43"/>
      <c r="L35" s="43"/>
      <c r="M35" s="43"/>
      <c r="N35" s="43"/>
      <c r="O35" s="43"/>
      <c r="P35" s="43"/>
      <c r="Q35" s="43"/>
      <c r="R35" s="43"/>
      <c r="S35" s="43"/>
    </row>
    <row r="36" spans="1:19" x14ac:dyDescent="0.2">
      <c r="A36" s="91" t="s">
        <v>78</v>
      </c>
      <c r="B36" s="95" t="str">
        <f>'Parameters List'!B36</f>
        <v>PW (µs)</v>
      </c>
      <c r="C36" s="33">
        <f>C$46*C$48*$C$174</f>
        <v>13</v>
      </c>
      <c r="D36" s="33">
        <f>D$46*D$48*$C$174</f>
        <v>3.9000000000000004</v>
      </c>
      <c r="F36" s="43"/>
      <c r="G36" s="43"/>
      <c r="H36" s="43"/>
      <c r="I36" s="43"/>
      <c r="J36" s="43"/>
      <c r="K36" s="43"/>
      <c r="L36" s="43"/>
      <c r="M36" s="43"/>
      <c r="N36" s="43"/>
      <c r="O36" s="43"/>
      <c r="P36" s="43"/>
      <c r="Q36" s="43"/>
      <c r="R36" s="43"/>
      <c r="S36" s="43"/>
    </row>
    <row r="37" spans="1:19" x14ac:dyDescent="0.2">
      <c r="A37" s="91" t="s">
        <v>78</v>
      </c>
      <c r="B37" s="95" t="str">
        <f>'Parameters List'!B37</f>
        <v>Actual Bandwidth (MHz)</v>
      </c>
      <c r="C37" s="33">
        <f>2*C$48/(C$36*(2*(C$48=2)+1*(C$48&lt;&gt;2)))</f>
        <v>2</v>
      </c>
      <c r="D37" s="33">
        <f>2*D$48/(D$36*(2*(D$48=2)+1*(D$48&lt;&gt;2)))</f>
        <v>6.6666666666666661</v>
      </c>
      <c r="F37" s="43"/>
      <c r="G37" s="43"/>
      <c r="H37" s="43"/>
      <c r="I37" s="43"/>
      <c r="J37" s="43"/>
      <c r="K37" s="43"/>
      <c r="L37" s="43"/>
      <c r="M37" s="43"/>
      <c r="N37" s="43"/>
      <c r="O37" s="43"/>
      <c r="P37" s="43"/>
      <c r="Q37" s="43"/>
      <c r="R37" s="43"/>
      <c r="S37" s="43"/>
    </row>
    <row r="38" spans="1:19" x14ac:dyDescent="0.2">
      <c r="A38" s="91" t="s">
        <v>81</v>
      </c>
      <c r="B38" s="95" t="str">
        <f>'Parameters List'!B38</f>
        <v>Range Resolution (m)</v>
      </c>
      <c r="C38" s="67">
        <f>$C$163*C$36 /C$48*(2*(C$48=2)+1*(C$48&lt;&gt;2))</f>
        <v>149.89622900000001</v>
      </c>
      <c r="D38" s="67">
        <f>$C$163*D$36 /D$48*(2*(D$48=2)+1*(D$48&lt;&gt;2))</f>
        <v>44.968868700000002</v>
      </c>
      <c r="F38" s="43"/>
      <c r="G38" s="43"/>
      <c r="H38" s="43"/>
      <c r="I38" s="43"/>
      <c r="J38" s="43"/>
      <c r="K38" s="43"/>
      <c r="L38" s="43"/>
      <c r="M38" s="43"/>
      <c r="N38" s="43"/>
      <c r="O38" s="43"/>
      <c r="P38" s="43"/>
      <c r="Q38" s="43"/>
      <c r="R38" s="43"/>
      <c r="S38" s="43"/>
    </row>
    <row r="39" spans="1:19" x14ac:dyDescent="0.2">
      <c r="A39" s="91" t="s">
        <v>81</v>
      </c>
      <c r="B39" s="95" t="str">
        <f>'Parameters List'!B39</f>
        <v>Range Gate Width (m)</v>
      </c>
      <c r="C39" s="67">
        <f>C$38*(1*(C$47=0)+0.5*(C$47&lt;&gt;0))</f>
        <v>74.948114500000003</v>
      </c>
      <c r="D39" s="67">
        <f>D$38*(1*(D$47=0)+0.5*(D$47&lt;&gt;0))</f>
        <v>22.484434350000001</v>
      </c>
      <c r="F39" s="43"/>
      <c r="G39" s="43"/>
      <c r="H39" s="43"/>
      <c r="I39" s="43"/>
      <c r="J39" s="43"/>
      <c r="K39" s="43"/>
      <c r="L39" s="43"/>
      <c r="M39" s="43"/>
      <c r="N39" s="43"/>
      <c r="O39" s="43"/>
      <c r="P39" s="43"/>
      <c r="Q39" s="43"/>
      <c r="R39" s="43"/>
      <c r="S39" s="43"/>
    </row>
    <row r="40" spans="1:19" x14ac:dyDescent="0.2">
      <c r="A40" s="91" t="s">
        <v>78</v>
      </c>
      <c r="B40" s="94" t="str">
        <f>'Parameters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'Parameters List'!B41</f>
        <v>Min Range Offset (m)</v>
      </c>
      <c r="C41" s="64">
        <v>0</v>
      </c>
      <c r="D41" s="64">
        <v>0</v>
      </c>
      <c r="F41" s="43"/>
      <c r="G41" s="43"/>
      <c r="H41" s="43"/>
      <c r="I41" s="43"/>
      <c r="J41" s="43"/>
      <c r="K41" s="43"/>
      <c r="L41" s="43"/>
      <c r="M41" s="43"/>
      <c r="N41" s="43"/>
      <c r="O41" s="43"/>
      <c r="P41" s="43"/>
      <c r="Q41" s="43"/>
      <c r="R41" s="43"/>
      <c r="S41" s="43"/>
    </row>
    <row r="42" spans="1:19" x14ac:dyDescent="0.2">
      <c r="A42" s="91" t="s">
        <v>78</v>
      </c>
      <c r="B42" s="94" t="str">
        <f>'Parameters List'!B42</f>
        <v>Max Range Offset (m)</v>
      </c>
      <c r="C42" s="64">
        <v>0</v>
      </c>
      <c r="D42" s="64">
        <v>0</v>
      </c>
      <c r="F42" s="43"/>
      <c r="G42" s="43"/>
      <c r="H42" s="43"/>
      <c r="I42" s="43"/>
      <c r="J42" s="43"/>
      <c r="K42" s="43"/>
      <c r="L42" s="43"/>
      <c r="M42" s="43"/>
      <c r="N42" s="43"/>
      <c r="O42" s="43"/>
      <c r="P42" s="43"/>
      <c r="Q42" s="43"/>
      <c r="R42" s="43"/>
      <c r="S42" s="43"/>
    </row>
    <row r="43" spans="1:19" x14ac:dyDescent="0.2">
      <c r="A43" s="91" t="s">
        <v>78</v>
      </c>
      <c r="B43" s="95" t="str">
        <f>'Parameters List'!B43</f>
        <v>Min Range (m)</v>
      </c>
      <c r="C43" s="67">
        <f>$C$163*C$36 + C$41</f>
        <v>1948.650977</v>
      </c>
      <c r="D43" s="67">
        <f>$C$163*D$36 + D$41</f>
        <v>584.59529310000005</v>
      </c>
      <c r="F43" s="43"/>
      <c r="G43" s="43"/>
      <c r="H43" s="43"/>
      <c r="I43" s="43"/>
      <c r="J43" s="43"/>
      <c r="K43" s="43"/>
      <c r="L43" s="43"/>
      <c r="M43" s="43"/>
      <c r="N43" s="43"/>
      <c r="O43" s="43"/>
      <c r="P43" s="43"/>
      <c r="Q43" s="43"/>
      <c r="R43" s="43"/>
      <c r="S43" s="43"/>
    </row>
    <row r="44" spans="1:19" x14ac:dyDescent="0.2">
      <c r="A44" s="91" t="s">
        <v>78</v>
      </c>
      <c r="B44" s="95" t="str">
        <f>'Parameters List'!B44</f>
        <v>Max Range (m)</v>
      </c>
      <c r="C44" s="67">
        <f>$C$163*((C$45-1)*C$46*$C$174/IF(C$48=2,IF(C$47=1,1,0.5),IF(C$47=1,2,1)))+C$43</f>
        <v>5171.4199005</v>
      </c>
      <c r="D44" s="67">
        <f>$C$163*((D$45-1)*D$46*$C$174/IF(D$48=2,IF(D$47=1,1,0.5),IF(D$47=1,2,1)))+D$43</f>
        <v>1483.9726671000001</v>
      </c>
      <c r="F44" s="43"/>
      <c r="G44" s="43"/>
      <c r="H44" s="43"/>
      <c r="I44" s="43"/>
      <c r="J44" s="43"/>
      <c r="K44" s="43"/>
      <c r="L44" s="43"/>
      <c r="M44" s="43"/>
      <c r="N44" s="43"/>
      <c r="O44" s="43"/>
      <c r="P44" s="43"/>
      <c r="Q44" s="43"/>
      <c r="R44" s="43"/>
      <c r="S44" s="43"/>
    </row>
    <row r="45" spans="1:19" x14ac:dyDescent="0.2">
      <c r="A45" s="91" t="s">
        <v>78</v>
      </c>
      <c r="B45" s="95" t="str">
        <f>'Parameters List'!B45</f>
        <v>NRG</v>
      </c>
      <c r="C45" s="33">
        <f>FLOOR((C$32-$C$161-2*C$36-(C$41+C$42)/$C$163)/(IF(C$48=2,IF(C$47=0,C$46*$C$174*2,C$46*$C$174),IF(C$47=0,C$46*$C$174,C$46*$C$174/2))),1)+1</f>
        <v>44</v>
      </c>
      <c r="D45" s="33">
        <f>FLOOR((D$32-$C$161-2*D$36-(D$41+D$42)/$C$163)/(IF(D$48=2,IF(D$47=0,D$46*$C$174*2,D$46*$C$174),IF(D$47=0,D$46*$C$174,D$46*$C$174/2))),1)+1</f>
        <v>41</v>
      </c>
      <c r="F45" s="43"/>
      <c r="G45" s="43"/>
      <c r="H45" s="43"/>
      <c r="I45" s="43"/>
      <c r="J45" s="43"/>
      <c r="K45" s="43"/>
      <c r="L45" s="43"/>
      <c r="M45" s="43"/>
      <c r="N45" s="43"/>
      <c r="O45" s="43"/>
      <c r="P45" s="43"/>
      <c r="Q45" s="43"/>
      <c r="R45" s="43"/>
      <c r="S45" s="43"/>
    </row>
    <row r="46" spans="1:19" x14ac:dyDescent="0.2">
      <c r="A46" s="91" t="s">
        <v>78</v>
      </c>
      <c r="B46" s="94" t="str">
        <f>'Parameters List'!B46</f>
        <v>TCHIP (even number)</v>
      </c>
      <c r="C46" s="64">
        <v>80</v>
      </c>
      <c r="D46" s="64">
        <v>24</v>
      </c>
      <c r="F46" s="43"/>
      <c r="G46" s="43"/>
      <c r="H46" s="43"/>
      <c r="I46" s="43"/>
      <c r="J46" s="43"/>
      <c r="K46" s="43"/>
      <c r="L46" s="43"/>
      <c r="M46" s="43"/>
      <c r="N46" s="43"/>
      <c r="O46" s="43"/>
      <c r="P46" s="43"/>
      <c r="Q46" s="43"/>
      <c r="R46" s="43"/>
      <c r="S46" s="43"/>
    </row>
    <row r="47" spans="1:19" x14ac:dyDescent="0.2">
      <c r="A47" s="91" t="s">
        <v>78</v>
      </c>
      <c r="B47" s="94" t="str">
        <f>'Parameters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'Parameters List'!B48</f>
        <v>NSERIES</v>
      </c>
      <c r="C48" s="64">
        <v>13</v>
      </c>
      <c r="D48" s="64">
        <v>13</v>
      </c>
      <c r="F48" s="43"/>
      <c r="G48" s="43"/>
      <c r="H48" s="43"/>
      <c r="I48" s="43"/>
      <c r="J48" s="43"/>
      <c r="K48" s="43"/>
      <c r="L48" s="43"/>
      <c r="M48" s="43"/>
      <c r="N48" s="43"/>
      <c r="O48" s="43"/>
      <c r="P48" s="43"/>
      <c r="Q48" s="43"/>
      <c r="R48" s="43"/>
      <c r="S48" s="43"/>
    </row>
    <row r="49" spans="1:19" x14ac:dyDescent="0.2">
      <c r="A49" s="91" t="s">
        <v>78</v>
      </c>
      <c r="B49" s="94" t="str">
        <f>'Parameters List'!B49</f>
        <v>POSTDEC</v>
      </c>
      <c r="C49" s="64">
        <v>1</v>
      </c>
      <c r="D49" s="64">
        <v>1</v>
      </c>
      <c r="F49" s="43"/>
      <c r="G49" s="43"/>
      <c r="H49" s="43"/>
      <c r="I49" s="43"/>
      <c r="J49" s="43"/>
      <c r="K49" s="43"/>
      <c r="L49" s="43"/>
      <c r="M49" s="43"/>
      <c r="N49" s="43"/>
      <c r="O49" s="43"/>
      <c r="P49" s="43"/>
      <c r="Q49" s="43"/>
      <c r="R49" s="43"/>
      <c r="S49" s="43"/>
    </row>
    <row r="50" spans="1:19" x14ac:dyDescent="0.2">
      <c r="A50" s="91"/>
      <c r="B50" s="80" t="str">
        <f>'Parameters List'!B50</f>
        <v>Max Abs Velocity Meas (m/s)</v>
      </c>
      <c r="C50" s="70">
        <f>1000000/($C$168*2*$C$104*C$49)</f>
        <v>445.19224532224536</v>
      </c>
      <c r="D50" s="70">
        <f>1000000/($C$168*2*$C$104*D$49)</f>
        <v>445.19224532224536</v>
      </c>
      <c r="F50" s="43"/>
      <c r="G50" s="43"/>
      <c r="H50" s="43"/>
      <c r="I50" s="43"/>
      <c r="J50" s="43"/>
      <c r="K50" s="43"/>
      <c r="L50" s="43"/>
      <c r="M50" s="43"/>
      <c r="N50" s="43"/>
      <c r="O50" s="43"/>
      <c r="P50" s="43"/>
      <c r="Q50" s="43"/>
      <c r="R50" s="43"/>
      <c r="S50" s="43"/>
    </row>
    <row r="51" spans="1:19" x14ac:dyDescent="0.2">
      <c r="A51" s="91" t="s">
        <v>78</v>
      </c>
      <c r="B51" s="95" t="str">
        <f>'Parameters List'!B51</f>
        <v>Npoints (up to FFT length)</v>
      </c>
      <c r="C51" s="33">
        <f>FLOOR((1000*C$29/$C$104/C$49),16)</f>
        <v>1024</v>
      </c>
      <c r="D51" s="33">
        <f>FLOOR((1000*D$29/$C$104/D$49),16)</f>
        <v>96</v>
      </c>
      <c r="F51" s="43"/>
      <c r="G51" s="43"/>
      <c r="H51" s="43"/>
      <c r="I51" s="43"/>
      <c r="J51" s="43"/>
      <c r="K51" s="43"/>
      <c r="L51" s="43"/>
      <c r="M51" s="43"/>
      <c r="N51" s="43"/>
      <c r="O51" s="43"/>
      <c r="P51" s="43"/>
      <c r="Q51" s="43"/>
      <c r="R51" s="43"/>
      <c r="S51" s="43"/>
    </row>
    <row r="52" spans="1:19" x14ac:dyDescent="0.2">
      <c r="A52" s="91" t="s">
        <v>78</v>
      </c>
      <c r="B52" s="95" t="str">
        <f>'Parameters List'!B52</f>
        <v>FFT length (limited to 8192)</v>
      </c>
      <c r="C52" s="33">
        <f>2^CEILING(LOG10(C51)/LOG10(2),1)</f>
        <v>1024</v>
      </c>
      <c r="D52" s="33">
        <f>2^CEILING(LOG10(D51)/LOG10(2),1)</f>
        <v>128</v>
      </c>
      <c r="F52" s="43"/>
      <c r="G52" s="43"/>
      <c r="H52" s="43"/>
      <c r="I52" s="43"/>
      <c r="J52" s="43"/>
      <c r="K52" s="43"/>
      <c r="L52" s="43"/>
      <c r="M52" s="43"/>
      <c r="N52" s="43"/>
      <c r="O52" s="43"/>
      <c r="P52" s="43"/>
      <c r="Q52" s="43"/>
      <c r="R52" s="43"/>
      <c r="S52" s="43"/>
    </row>
    <row r="53" spans="1:19" x14ac:dyDescent="0.2">
      <c r="A53" s="91"/>
      <c r="B53" s="95" t="str">
        <f>'Parameters List'!B53</f>
        <v>NCRG(per rcvr,limited to 512)</v>
      </c>
      <c r="C53" s="67">
        <f>C$45*C$26</f>
        <v>44</v>
      </c>
      <c r="D53" s="67">
        <f>D$45*D$26</f>
        <v>0</v>
      </c>
      <c r="F53" s="43"/>
      <c r="G53" s="43"/>
      <c r="H53" s="43"/>
      <c r="I53" s="43"/>
      <c r="J53" s="43"/>
      <c r="K53" s="43"/>
      <c r="L53" s="43"/>
      <c r="M53" s="43"/>
      <c r="N53" s="43"/>
      <c r="O53" s="43"/>
      <c r="P53" s="43"/>
      <c r="Q53" s="43"/>
      <c r="R53" s="43"/>
      <c r="S53" s="43"/>
    </row>
    <row r="54" spans="1:19" x14ac:dyDescent="0.2">
      <c r="A54" s="91"/>
      <c r="B54" s="95" t="str">
        <f>'Parameters List'!B54</f>
        <v>NCRG(all rcvrs)</v>
      </c>
      <c r="C54" s="67">
        <f>C$53*$C$155</f>
        <v>220</v>
      </c>
      <c r="D54" s="67">
        <f>D$53*$C$155</f>
        <v>0</v>
      </c>
      <c r="F54" s="43"/>
      <c r="G54" s="43"/>
      <c r="H54" s="43"/>
      <c r="I54" s="43"/>
      <c r="J54" s="43"/>
      <c r="K54" s="43"/>
      <c r="L54" s="43"/>
      <c r="M54" s="43"/>
      <c r="N54" s="43"/>
      <c r="O54" s="43"/>
      <c r="P54" s="43"/>
      <c r="Q54" s="43"/>
      <c r="R54" s="43"/>
      <c r="S54" s="43"/>
    </row>
    <row r="55" spans="1:19" x14ac:dyDescent="0.2">
      <c r="A55" s="91"/>
      <c r="B55" s="95" t="str">
        <f>'Parameters List'!B55</f>
        <v>TCHIP (m)</v>
      </c>
      <c r="C55" s="67">
        <f>C46*$C$163*$C$174</f>
        <v>149.89622900000001</v>
      </c>
      <c r="D55" s="67">
        <f>D46*$C$163*$C$174</f>
        <v>44.968868700000002</v>
      </c>
      <c r="F55" s="43"/>
      <c r="G55" s="43"/>
      <c r="H55" s="43"/>
      <c r="I55" s="43"/>
      <c r="J55" s="43"/>
      <c r="K55" s="43"/>
      <c r="L55" s="43"/>
      <c r="M55" s="43"/>
      <c r="N55" s="43"/>
      <c r="O55" s="43"/>
      <c r="P55" s="43"/>
      <c r="Q55" s="43"/>
      <c r="R55" s="43"/>
      <c r="S55" s="43"/>
    </row>
    <row r="56" spans="1:19" x14ac:dyDescent="0.2">
      <c r="A56" s="91"/>
      <c r="B56" s="94" t="str">
        <f>'Parameters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'Parameters List'!B57</f>
        <v>Clutter Margin (m/s)</v>
      </c>
      <c r="C57" s="67">
        <f>IF($C$206+C$56&gt;0,$C$206+C$56+C$67*C$65*1,0)</f>
        <v>4.2275455615800421</v>
      </c>
      <c r="D57" s="67">
        <f>IF($C$206+D$56&gt;0,$C$206+D$56+D$67*D$65*1,0)</f>
        <v>35.530125310800415</v>
      </c>
      <c r="F57" s="43"/>
      <c r="G57" s="43"/>
      <c r="H57" s="43"/>
      <c r="I57" s="43"/>
      <c r="J57" s="43"/>
      <c r="K57" s="43"/>
      <c r="L57" s="43"/>
      <c r="M57" s="43"/>
      <c r="N57" s="43"/>
      <c r="O57" s="43"/>
      <c r="P57" s="43"/>
      <c r="Q57" s="43"/>
      <c r="R57" s="43"/>
      <c r="S57" s="43"/>
    </row>
    <row r="58" spans="1:19" x14ac:dyDescent="0.2">
      <c r="A58" s="91" t="s">
        <v>78</v>
      </c>
      <c r="B58" s="94" t="str">
        <f>'Parameters List'!B58</f>
        <v>Min Velocity (m/s)</v>
      </c>
      <c r="C58" s="64">
        <v>0</v>
      </c>
      <c r="D58" s="64">
        <v>0</v>
      </c>
      <c r="F58" s="43"/>
      <c r="G58" s="43"/>
      <c r="H58" s="43"/>
      <c r="I58" s="43"/>
      <c r="J58" s="43"/>
      <c r="K58" s="43"/>
      <c r="L58" s="43"/>
      <c r="M58" s="43"/>
      <c r="N58" s="43"/>
      <c r="O58" s="43"/>
      <c r="P58" s="43"/>
      <c r="Q58" s="43"/>
      <c r="R58" s="43"/>
      <c r="S58" s="43"/>
    </row>
    <row r="59" spans="1:19" x14ac:dyDescent="0.2">
      <c r="A59" s="91" t="s">
        <v>81</v>
      </c>
      <c r="B59" s="94" t="str">
        <f>'Parameters List'!B59</f>
        <v>Max Velocity (m/s)</v>
      </c>
      <c r="C59" s="64">
        <v>20</v>
      </c>
      <c r="D59" s="64">
        <v>20</v>
      </c>
      <c r="F59" s="43"/>
      <c r="G59" s="43"/>
      <c r="H59" s="43"/>
      <c r="I59" s="43"/>
      <c r="J59" s="43"/>
      <c r="K59" s="43"/>
      <c r="L59" s="43"/>
      <c r="M59" s="43"/>
      <c r="N59" s="43"/>
      <c r="O59" s="43"/>
      <c r="P59" s="43"/>
      <c r="Q59" s="43"/>
      <c r="R59" s="43"/>
      <c r="S59" s="43"/>
    </row>
    <row r="60" spans="1:19" x14ac:dyDescent="0.2">
      <c r="A60" s="91"/>
      <c r="B60" s="68" t="str">
        <f>'Parameters List'!B60</f>
        <v>Loss Velocity (m/s)</v>
      </c>
      <c r="C60" s="67">
        <f>C$38*1000/C$30</f>
        <v>3043.3063645075358</v>
      </c>
      <c r="D60" s="67">
        <f>D$38*1000/D$30</f>
        <v>9738.5803664241157</v>
      </c>
      <c r="F60" s="43"/>
      <c r="G60" s="43"/>
      <c r="H60" s="43"/>
      <c r="I60" s="43"/>
      <c r="J60" s="43"/>
      <c r="K60" s="43"/>
      <c r="L60" s="43"/>
      <c r="M60" s="43"/>
      <c r="N60" s="43"/>
      <c r="O60" s="43"/>
      <c r="P60" s="43"/>
      <c r="Q60" s="43"/>
      <c r="R60" s="43"/>
      <c r="S60" s="43"/>
    </row>
    <row r="61" spans="1:19" x14ac:dyDescent="0.2">
      <c r="A61" s="92"/>
      <c r="B61" s="68" t="str">
        <f>'Parameters List'!B61</f>
        <v>Velocity Loss (dB)</v>
      </c>
      <c r="C61" s="67">
        <f>IF(C$59&lt;C$60, 0, IF(C$47=1, IF(C$59&lt;2*C$60, (C$59 / C$60)*0.5*$C$203, 10), IF(C$47=0, IF(C$59&lt;2*C$60, (C$59 / C$60)*$C$202-$C$202/2, 10), 10)))+(-20*LOG10(ABS(SIN(PI()*C$59*$C$168*C$36*10^-6)/(PI()*C$59*$C$168*C$36*10^-6))))</f>
        <v>5.2658615684240766E-4</v>
      </c>
      <c r="D61" s="67">
        <f>IF(D$59&lt;D$60, 0, IF(D$47=1, IF(D$59&lt;2*D$60, (D$59 / D$60)*0.5*$C$203, 10), IF(D$47=0, IF(D$59&lt;2*D$60, (D$59 / D$60)*$C$202-$C$202/2, 10), 10)))+(-20*LOG10(ABS(SIN(PI()*D$59*$C$168*D$36*10^-6)/(PI()*D$59*$C$168*D$36*10^-6))))</f>
        <v>4.7392231192217846E-5</v>
      </c>
    </row>
    <row r="62" spans="1:19" x14ac:dyDescent="0.2">
      <c r="A62" s="92"/>
      <c r="B62" s="71" t="str">
        <f>'Parameters List'!B62</f>
        <v>Max Acceleration (m/s2)</v>
      </c>
      <c r="C62" s="64">
        <v>0</v>
      </c>
      <c r="D62" s="64">
        <v>0</v>
      </c>
    </row>
    <row r="63" spans="1:19" x14ac:dyDescent="0.2">
      <c r="A63" s="91"/>
      <c r="B63" s="68" t="str">
        <f>'Parameters List'!B63</f>
        <v>Loss Acceleration (m/s2)</v>
      </c>
      <c r="C63" s="67">
        <f>C$65*1000/C$30*$C$196</f>
        <v>33.54178708654495</v>
      </c>
      <c r="D63" s="67">
        <f>D$65*1000/D$30*$C$196</f>
        <v>2862.2324980518356</v>
      </c>
      <c r="F63" s="43"/>
      <c r="G63" s="43"/>
      <c r="H63" s="43"/>
      <c r="I63" s="43"/>
      <c r="J63" s="43"/>
      <c r="K63" s="43"/>
      <c r="L63" s="43"/>
      <c r="M63" s="43"/>
      <c r="N63" s="43"/>
      <c r="O63" s="43"/>
      <c r="P63" s="43"/>
      <c r="Q63" s="43"/>
      <c r="R63" s="43"/>
      <c r="S63" s="43"/>
    </row>
    <row r="64" spans="1:19" x14ac:dyDescent="0.2">
      <c r="A64" s="92"/>
      <c r="B64" s="68" t="str">
        <f>'Parameters List'!B64</f>
        <v>Acceleration Loss (dB)</v>
      </c>
      <c r="C64" s="67">
        <f>IF( C$62 &gt;= C$63, C$62 / C$63 * $C$198, 0)</f>
        <v>0</v>
      </c>
      <c r="D64" s="67">
        <f>IF( D$62 &gt;= D$63, D$62 / D$63 * $C$198, 0)</f>
        <v>0</v>
      </c>
    </row>
    <row r="65" spans="1:19" x14ac:dyDescent="0.2">
      <c r="A65" s="91" t="s">
        <v>81</v>
      </c>
      <c r="B65" s="80" t="str">
        <f>'Parameters List'!B65</f>
        <v>fft2doppler (m/s per FFT bin)</v>
      </c>
      <c r="C65" s="70">
        <f>$C$106*1000/C$49/C$52/$C$168</f>
        <v>0.86951610414501046</v>
      </c>
      <c r="D65" s="70">
        <f>$C$106*1000/D$49/D$52/$C$168</f>
        <v>6.9561288331600837</v>
      </c>
      <c r="F65" s="43"/>
      <c r="G65" s="43"/>
      <c r="H65" s="43"/>
      <c r="I65" s="43"/>
      <c r="J65" s="43"/>
      <c r="K65" s="43"/>
      <c r="L65" s="43"/>
      <c r="M65" s="43"/>
      <c r="N65" s="43"/>
      <c r="O65" s="43"/>
      <c r="P65" s="43"/>
      <c r="Q65" s="43"/>
      <c r="R65" s="43"/>
      <c r="S65" s="43"/>
    </row>
    <row r="66" spans="1:19" x14ac:dyDescent="0.2">
      <c r="A66" s="91"/>
      <c r="B66" s="80" t="str">
        <f>'Parameters List'!B66</f>
        <v>Optimal Peak2Peak Seperation (m/s)</v>
      </c>
      <c r="C66" s="70">
        <f>(C$67+C$68+(C$67+1))*C$65</f>
        <v>18.259838187045219</v>
      </c>
      <c r="D66" s="70">
        <f>(D$67+D$68+(D$67+1))*D$65</f>
        <v>187.81547849532225</v>
      </c>
      <c r="F66" s="43"/>
      <c r="G66" s="43"/>
      <c r="H66" s="43"/>
      <c r="I66" s="43"/>
      <c r="J66" s="43"/>
      <c r="K66" s="43"/>
      <c r="L66" s="43"/>
      <c r="M66" s="43"/>
      <c r="N66" s="43"/>
      <c r="O66" s="43"/>
      <c r="P66" s="43"/>
      <c r="Q66" s="43"/>
      <c r="R66" s="43"/>
      <c r="S66" s="43"/>
    </row>
    <row r="67" spans="1:19" x14ac:dyDescent="0.2">
      <c r="A67" s="91"/>
      <c r="B67" s="95" t="str">
        <f>'Parameters List'!B67</f>
        <v># FFT bins of peak spreading (one side)</v>
      </c>
      <c r="C67" s="67">
        <f>ROUND((($C$200-1) / 2) * (C$52 / C$51) + (C$62*C$30/1000)/C$65,0)</f>
        <v>4</v>
      </c>
      <c r="D67" s="67">
        <f>ROUND((($C$200-1) / 2) * (D$52 / D$51) + (D$62*D$30/1000)/D$65,0)</f>
        <v>5</v>
      </c>
      <c r="F67" s="43"/>
      <c r="G67" s="43"/>
      <c r="H67" s="43"/>
      <c r="I67" s="43"/>
      <c r="J67" s="43"/>
      <c r="K67" s="43"/>
      <c r="L67" s="43"/>
      <c r="M67" s="43"/>
      <c r="N67" s="43"/>
      <c r="O67" s="43"/>
      <c r="P67" s="43"/>
      <c r="Q67" s="43"/>
      <c r="R67" s="43"/>
      <c r="S67" s="43"/>
    </row>
    <row r="68" spans="1:19" x14ac:dyDescent="0.2">
      <c r="A68" s="91"/>
      <c r="B68" s="95" t="str">
        <f>'Parameters List'!B68</f>
        <v># FFT bins for noise estimation (one side)</v>
      </c>
      <c r="C68" s="67">
        <f>ROUND((($C$201-1)/2*$C$197/$C$199)*(C$52/C$51),0)</f>
        <v>12</v>
      </c>
      <c r="D68" s="67">
        <f>ROUND((($C$201-1)/2*$C$197/$C$199)*(D$52/D$51),0)</f>
        <v>16</v>
      </c>
      <c r="F68" s="43"/>
      <c r="G68" s="43"/>
      <c r="H68" s="43"/>
      <c r="I68" s="43"/>
      <c r="J68" s="43"/>
      <c r="K68" s="43"/>
      <c r="L68" s="43"/>
      <c r="M68" s="43"/>
      <c r="N68" s="43"/>
      <c r="O68" s="43"/>
      <c r="P68" s="43"/>
      <c r="Q68" s="43"/>
      <c r="R68" s="43"/>
      <c r="S68" s="43"/>
    </row>
    <row r="69" spans="1:19" x14ac:dyDescent="0.2">
      <c r="A69" s="91"/>
      <c r="B69" s="95" t="str">
        <f>'Parameters List'!B69</f>
        <v># FFT bins of clutter margin (one side)</v>
      </c>
      <c r="C69" s="67">
        <f>C$57/C$65</f>
        <v>4.8619520000000005</v>
      </c>
      <c r="D69" s="67">
        <f>D$57/D$65</f>
        <v>5.1077439999999994</v>
      </c>
      <c r="F69" s="43"/>
      <c r="G69" s="43"/>
      <c r="H69" s="43"/>
      <c r="I69" s="43"/>
      <c r="J69" s="43"/>
      <c r="K69" s="43"/>
      <c r="L69" s="43"/>
      <c r="M69" s="43"/>
      <c r="N69" s="43"/>
      <c r="O69" s="43"/>
      <c r="P69" s="43"/>
      <c r="Q69" s="43"/>
      <c r="R69" s="43"/>
      <c r="S69" s="43"/>
    </row>
    <row r="70" spans="1:19" x14ac:dyDescent="0.2">
      <c r="A70" s="91"/>
      <c r="B70" s="95" t="str">
        <f>'Parameters List'!B70</f>
        <v># FFT bins to min velocity</v>
      </c>
      <c r="C70" s="67">
        <f>FLOOR(C$58/C$65,1)</f>
        <v>0</v>
      </c>
      <c r="D70" s="67">
        <f>FLOOR(D$58/D$65,1)</f>
        <v>0</v>
      </c>
      <c r="F70" s="43"/>
      <c r="G70" s="43"/>
      <c r="H70" s="43"/>
      <c r="I70" s="43"/>
      <c r="J70" s="43"/>
      <c r="K70" s="43"/>
      <c r="L70" s="43"/>
      <c r="M70" s="43"/>
      <c r="N70" s="43"/>
      <c r="O70" s="43"/>
      <c r="P70" s="43"/>
      <c r="Q70" s="43"/>
      <c r="R70" s="43"/>
      <c r="S70" s="43"/>
    </row>
    <row r="71" spans="1:19" x14ac:dyDescent="0.2">
      <c r="A71" s="91"/>
      <c r="B71" s="95" t="str">
        <f>'Parameters List'!B71</f>
        <v># FFT bins to max velocity</v>
      </c>
      <c r="C71" s="67">
        <f>CEILING(C$59/C$65,1)</f>
        <v>24</v>
      </c>
      <c r="D71" s="67">
        <f>CEILING(D$59/D$65,1)</f>
        <v>3</v>
      </c>
      <c r="F71" s="43"/>
      <c r="G71" s="43"/>
      <c r="H71" s="43"/>
      <c r="I71" s="43"/>
      <c r="J71" s="43"/>
      <c r="K71" s="43"/>
      <c r="L71" s="43"/>
      <c r="M71" s="43"/>
      <c r="N71" s="43"/>
      <c r="O71" s="43"/>
      <c r="P71" s="43"/>
      <c r="Q71" s="43"/>
      <c r="R71" s="43"/>
      <c r="S71" s="43"/>
    </row>
    <row r="72" spans="1:19" x14ac:dyDescent="0.2">
      <c r="A72" s="91" t="s">
        <v>81</v>
      </c>
      <c r="B72" s="95" t="str">
        <f>'Parameters List'!B72</f>
        <v>Noise Mask (example: '-13,-4,4,13)</v>
      </c>
      <c r="C72" s="67" t="str">
        <f>CONCATENATE(TEXT(-C$68-C$67,"0"),",",TEXT(-C$67-1,"0"),",",TEXT(C$67+1,"0"),",",TEXT(C$68+C$67,"0"))</f>
        <v>-16,-5,5,16</v>
      </c>
      <c r="D72" s="67" t="str">
        <f>CONCATENATE(TEXT(-D$68-D$67,"0"),",",TEXT(-D$67-1,"0"),",",TEXT(D$67+1,"0"),",",TEXT(D$68+D$67,"0"))</f>
        <v>-21,-6,6,21</v>
      </c>
      <c r="F72" s="43"/>
      <c r="G72" s="43"/>
      <c r="H72" s="43"/>
      <c r="I72" s="43"/>
      <c r="J72" s="43"/>
      <c r="K72" s="43"/>
      <c r="L72" s="43"/>
      <c r="M72" s="43"/>
      <c r="N72" s="43"/>
      <c r="O72" s="43"/>
      <c r="P72" s="43"/>
      <c r="Q72" s="43"/>
      <c r="R72" s="43"/>
      <c r="S72" s="43"/>
    </row>
    <row r="73" spans="1:19" x14ac:dyDescent="0.2">
      <c r="A73" s="91" t="s">
        <v>81</v>
      </c>
      <c r="B73" s="94" t="str">
        <f>'Parameters List'!B73</f>
        <v>Options (see Options List sheet)</v>
      </c>
      <c r="C73" s="101" t="s">
        <v>86</v>
      </c>
      <c r="D73" s="101" t="s">
        <v>86</v>
      </c>
      <c r="F73" s="43"/>
      <c r="G73" s="43"/>
      <c r="H73" s="43"/>
      <c r="I73" s="43"/>
      <c r="J73" s="43"/>
      <c r="K73" s="43"/>
      <c r="L73" s="43"/>
      <c r="M73" s="43"/>
      <c r="N73" s="43"/>
      <c r="O73" s="43"/>
      <c r="P73" s="43"/>
      <c r="Q73" s="43"/>
      <c r="R73" s="43"/>
      <c r="S73" s="43"/>
    </row>
    <row r="74" spans="1:19" x14ac:dyDescent="0.2">
      <c r="A74" s="91" t="s">
        <v>81</v>
      </c>
      <c r="B74" s="94" t="str">
        <f>'Parameters List'!B74</f>
        <v>SNR Threshold (dB)</v>
      </c>
      <c r="C74" s="73">
        <v>12</v>
      </c>
      <c r="D74" s="73">
        <v>14</v>
      </c>
      <c r="F74" s="43"/>
      <c r="G74" s="43"/>
      <c r="H74" s="43"/>
      <c r="I74" s="43"/>
      <c r="J74" s="43"/>
      <c r="K74" s="43"/>
      <c r="L74" s="43"/>
      <c r="M74" s="43"/>
      <c r="N74" s="43"/>
      <c r="O74" s="43"/>
      <c r="P74" s="43"/>
      <c r="Q74" s="43"/>
      <c r="R74" s="43"/>
      <c r="S74" s="43"/>
    </row>
    <row r="75" spans="1:19" x14ac:dyDescent="0.2">
      <c r="A75" s="91"/>
      <c r="B75" s="80" t="str">
        <f>'Parameters List'!B75</f>
        <v>Probability of False Alarm</v>
      </c>
      <c r="C75" s="70">
        <f>pf_PD_PFA_CFAR("pfa", C$74, C$120, C$121, C$68*2, 1)</f>
        <v>5.1888289024436828E-6</v>
      </c>
      <c r="D75" s="70">
        <f>pf_PD_PFA_CFAR("pfa", D$74, D$120, D$121, D$68*2, 1)</f>
        <v>8.8685631549264631E-9</v>
      </c>
      <c r="F75" s="43"/>
      <c r="G75" s="43"/>
      <c r="H75" s="43"/>
      <c r="I75" s="43"/>
      <c r="J75" s="43"/>
      <c r="K75" s="43"/>
      <c r="L75" s="43"/>
      <c r="M75" s="43"/>
      <c r="N75" s="43"/>
      <c r="O75" s="43"/>
      <c r="P75" s="43"/>
      <c r="Q75" s="43"/>
      <c r="R75" s="43"/>
      <c r="S75" s="43"/>
    </row>
    <row r="76" spans="1:19" x14ac:dyDescent="0.2">
      <c r="A76" s="91"/>
      <c r="B76" s="80" t="str">
        <f>'Parameters List'!B76</f>
        <v>Probability of False Alarm per CPI</v>
      </c>
      <c r="C76" s="70">
        <f>C$75*C$52*C$53</f>
        <v>0.23378787502850257</v>
      </c>
      <c r="D76" s="70">
        <f>D$75*D$52*D$53</f>
        <v>0</v>
      </c>
      <c r="F76" s="43"/>
      <c r="G76" s="43"/>
      <c r="H76" s="43"/>
      <c r="I76" s="43"/>
      <c r="J76" s="43"/>
      <c r="K76" s="43"/>
      <c r="L76" s="43"/>
      <c r="M76" s="43"/>
      <c r="N76" s="43"/>
      <c r="O76" s="43"/>
      <c r="P76" s="43"/>
      <c r="Q76" s="43"/>
      <c r="R76" s="43"/>
      <c r="S76" s="43"/>
    </row>
    <row r="77" spans="1:19" x14ac:dyDescent="0.2">
      <c r="A77" s="91"/>
      <c r="B77" s="80" t="str">
        <f>'Parameters List'!B77</f>
        <v>Probability of False Alarm per SEC</v>
      </c>
      <c r="C77" s="70">
        <f>C$76/(C$30/1000)</f>
        <v>4.7465378733372559</v>
      </c>
      <c r="D77" s="70">
        <f>D$76/(D$30/1000)</f>
        <v>0</v>
      </c>
      <c r="F77" s="43"/>
      <c r="G77" s="43"/>
      <c r="H77" s="43"/>
      <c r="I77" s="43"/>
      <c r="J77" s="43"/>
      <c r="K77" s="43"/>
      <c r="L77" s="43"/>
      <c r="M77" s="43"/>
      <c r="N77" s="43"/>
      <c r="O77" s="43"/>
      <c r="P77" s="43"/>
      <c r="Q77" s="43"/>
      <c r="R77" s="43"/>
      <c r="S77" s="43"/>
    </row>
    <row r="78" spans="1:19" x14ac:dyDescent="0.2">
      <c r="A78" s="91"/>
      <c r="B78" s="94" t="str">
        <f>'Parameters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'Parameters List'!B79</f>
        <v>STC Init Range (m)</v>
      </c>
      <c r="C79" s="70">
        <f>10^((40*LOG10(C$44)-(C$78-C$99)) / 40)</f>
        <v>1763.6940283606734</v>
      </c>
      <c r="D79" s="70">
        <f>10^((40*LOG10(D$44)-(D$78-D$99)) / 40)</f>
        <v>1080.0674008069891</v>
      </c>
      <c r="F79" s="43"/>
      <c r="G79" s="43"/>
      <c r="H79" s="43"/>
      <c r="I79" s="43"/>
      <c r="J79" s="43"/>
      <c r="K79" s="43"/>
      <c r="L79" s="43"/>
      <c r="M79" s="43"/>
      <c r="N79" s="43"/>
      <c r="O79" s="43"/>
      <c r="P79" s="43"/>
      <c r="Q79" s="43"/>
      <c r="R79" s="43"/>
      <c r="S79" s="43"/>
    </row>
    <row r="80" spans="1:19" x14ac:dyDescent="0.2">
      <c r="A80" s="91"/>
      <c r="B80" s="94" t="str">
        <f>'Parameters List'!B80</f>
        <v>Tapered Array (0/1)</v>
      </c>
      <c r="C80" s="101">
        <v>0</v>
      </c>
      <c r="D80" s="101">
        <v>0</v>
      </c>
      <c r="F80" s="43"/>
      <c r="G80" s="43"/>
      <c r="H80" s="43"/>
      <c r="I80" s="43"/>
      <c r="J80" s="43"/>
      <c r="K80" s="43"/>
      <c r="L80" s="43"/>
      <c r="M80" s="43"/>
      <c r="N80" s="43"/>
      <c r="O80" s="43"/>
      <c r="P80" s="43"/>
      <c r="Q80" s="43"/>
      <c r="R80" s="43"/>
      <c r="S80" s="43"/>
    </row>
    <row r="81" spans="1:19" x14ac:dyDescent="0.2">
      <c r="A81" s="91"/>
      <c r="B81" s="94" t="str">
        <f>'Parameters List'!B81</f>
        <v>AGC Set (1-6)</v>
      </c>
      <c r="C81" s="101">
        <v>1</v>
      </c>
      <c r="D81" s="101">
        <v>1</v>
      </c>
      <c r="F81" s="43"/>
      <c r="G81" s="43"/>
      <c r="H81" s="43"/>
      <c r="I81" s="43"/>
      <c r="J81" s="43"/>
      <c r="K81" s="43"/>
      <c r="L81" s="43"/>
      <c r="M81" s="43"/>
      <c r="N81" s="43"/>
      <c r="O81" s="43"/>
      <c r="P81" s="43"/>
      <c r="Q81" s="43"/>
      <c r="R81" s="43"/>
      <c r="S81" s="43"/>
    </row>
    <row r="82" spans="1:19" x14ac:dyDescent="0.2">
      <c r="A82" s="91"/>
      <c r="B82" s="95" t="str">
        <f>'Parameters List'!B82</f>
        <v>RF AGC (dB) - 1st Rx</v>
      </c>
      <c r="C82" s="67">
        <f>VLOOKUP(C$81,'AGC Set Table'!$A$3:$K$9,2,FALSE)</f>
        <v>0</v>
      </c>
      <c r="D82" s="67">
        <f>VLOOKUP(D$81,'AGC Set Table'!$A$3:$K$9,2,FALSE)</f>
        <v>0</v>
      </c>
      <c r="F82" s="43"/>
      <c r="G82" s="43"/>
      <c r="H82" s="43"/>
      <c r="I82" s="43"/>
      <c r="J82" s="43"/>
      <c r="K82" s="43"/>
      <c r="L82" s="43"/>
      <c r="M82" s="43"/>
      <c r="N82" s="43"/>
      <c r="O82" s="43"/>
      <c r="P82" s="43"/>
      <c r="Q82" s="43"/>
      <c r="R82" s="43"/>
      <c r="S82" s="43"/>
    </row>
    <row r="83" spans="1:19" x14ac:dyDescent="0.2">
      <c r="A83" s="91"/>
      <c r="B83" s="95" t="str">
        <f>'Parameters List'!B83</f>
        <v>IF AGC (dB) - 1st Rx</v>
      </c>
      <c r="C83" s="67">
        <f>VLOOKUP(C$81,'AGC Set Table'!$A$3:$K$9,3,FALSE)</f>
        <v>15</v>
      </c>
      <c r="D83" s="67">
        <f>VLOOKUP(D$81,'AGC Set Table'!$A$3:$K$9,3,FALSE)</f>
        <v>15</v>
      </c>
      <c r="F83" s="43"/>
      <c r="G83" s="43"/>
      <c r="H83" s="43"/>
      <c r="I83" s="43"/>
      <c r="J83" s="43"/>
      <c r="K83" s="43"/>
      <c r="L83" s="43"/>
      <c r="M83" s="43"/>
      <c r="N83" s="43"/>
      <c r="O83" s="43"/>
      <c r="P83" s="43"/>
      <c r="Q83" s="43"/>
      <c r="R83" s="43"/>
      <c r="S83" s="43"/>
    </row>
    <row r="84" spans="1:19" x14ac:dyDescent="0.2">
      <c r="A84" s="91"/>
      <c r="B84" s="95" t="str">
        <f>'Parameters List'!B84</f>
        <v>RF AGC (dB) - Ref Rx</v>
      </c>
      <c r="C84" s="67">
        <f>VLOOKUP(C$81,'AGC Set Table'!$A$3:$K$9,8,FALSE)</f>
        <v>0</v>
      </c>
      <c r="D84" s="67">
        <f>VLOOKUP(D$81,'AGC Set Table'!$A$3:$K$9,8,FALSE)</f>
        <v>0</v>
      </c>
      <c r="F84" s="43"/>
      <c r="G84" s="43"/>
      <c r="H84" s="43"/>
      <c r="I84" s="43"/>
      <c r="J84" s="43"/>
      <c r="K84" s="43"/>
      <c r="L84" s="43"/>
      <c r="M84" s="43"/>
      <c r="N84" s="43"/>
      <c r="O84" s="43"/>
      <c r="P84" s="43"/>
      <c r="Q84" s="43"/>
      <c r="R84" s="43"/>
      <c r="S84" s="43"/>
    </row>
    <row r="85" spans="1:19" x14ac:dyDescent="0.2">
      <c r="A85" s="91"/>
      <c r="B85" s="95" t="str">
        <f>'Parameters List'!B85</f>
        <v>IF AGC (dB) - Ref Rx</v>
      </c>
      <c r="C85" s="67">
        <f>VLOOKUP(C$81,'AGC Set Table'!$A$3:$K$9,9,FALSE)</f>
        <v>5</v>
      </c>
      <c r="D85" s="67">
        <f>VLOOKUP(D$81,'AGC Set Table'!$A$3:$K$9,9,FALSE)</f>
        <v>5</v>
      </c>
      <c r="F85" s="43"/>
      <c r="G85" s="43"/>
      <c r="H85" s="43"/>
      <c r="I85" s="43"/>
      <c r="J85" s="43"/>
      <c r="K85" s="43"/>
      <c r="L85" s="43"/>
      <c r="M85" s="43"/>
      <c r="N85" s="43"/>
      <c r="O85" s="43"/>
      <c r="P85" s="43"/>
      <c r="Q85" s="43"/>
      <c r="R85" s="43"/>
      <c r="S85" s="43"/>
    </row>
    <row r="86" spans="1:19" x14ac:dyDescent="0.2">
      <c r="A86" s="91"/>
      <c r="B86" s="95" t="str">
        <f>'Parameters List'!B86</f>
        <v>NF @ADCout (dB) - 1st Rx</v>
      </c>
      <c r="C86" s="67">
        <f>VLOOKUP(C$81,'AGC Set Table'!$A$3:$K$9,IF(C$80=0,6,IF(C$80=1,7)),FALSE)</f>
        <v>2.75</v>
      </c>
      <c r="D86" s="67">
        <f>VLOOKUP(D$81,'AGC Set Table'!$A$3:$K$9,IF(D$80=0,6,IF(D$80=1,7)),FALSE)</f>
        <v>2.75</v>
      </c>
      <c r="F86" s="43"/>
      <c r="G86" s="43"/>
      <c r="H86" s="43"/>
      <c r="I86" s="43"/>
      <c r="J86" s="43"/>
      <c r="K86" s="43"/>
      <c r="L86" s="43"/>
      <c r="M86" s="43"/>
      <c r="N86" s="43"/>
      <c r="O86" s="43"/>
      <c r="P86" s="43"/>
      <c r="Q86" s="43"/>
      <c r="R86" s="43"/>
      <c r="S86" s="43"/>
    </row>
    <row r="87" spans="1:19" x14ac:dyDescent="0.2">
      <c r="A87" s="91"/>
      <c r="B87" s="95" t="str">
        <f>'Parameters List'!B87</f>
        <v>NF @ADCout (dB) - Ref Rx</v>
      </c>
      <c r="C87" s="67">
        <f>VLOOKUP(C$81,'AGC Set Table'!$A$3:$K$9,11,FALSE)</f>
        <v>2.5299999999999998</v>
      </c>
      <c r="D87" s="67">
        <f>VLOOKUP(D$81,'AGC Set Table'!$A$3:$K$9,11,FALSE)</f>
        <v>2.5299999999999998</v>
      </c>
      <c r="F87" s="43"/>
      <c r="G87" s="43"/>
      <c r="H87" s="43"/>
      <c r="I87" s="43"/>
      <c r="J87" s="43"/>
      <c r="K87" s="43"/>
      <c r="L87" s="43"/>
      <c r="M87" s="43"/>
      <c r="N87" s="43"/>
      <c r="O87" s="43"/>
      <c r="P87" s="43"/>
      <c r="Q87" s="43"/>
      <c r="R87" s="43"/>
      <c r="S87" s="43"/>
    </row>
    <row r="88" spans="1:19" x14ac:dyDescent="0.2">
      <c r="A88" s="91" t="s">
        <v>81</v>
      </c>
      <c r="B88" s="94" t="str">
        <f>'Parameters List'!B88</f>
        <v>RCS (m^2)</v>
      </c>
      <c r="C88" s="74">
        <v>0.01</v>
      </c>
      <c r="D88" s="74">
        <v>0.1</v>
      </c>
      <c r="F88" s="43"/>
      <c r="G88" s="43"/>
      <c r="H88" s="43"/>
      <c r="I88" s="43"/>
      <c r="J88" s="43"/>
      <c r="K88" s="43"/>
      <c r="L88" s="43"/>
      <c r="M88" s="43"/>
      <c r="N88" s="43"/>
      <c r="O88" s="43"/>
      <c r="P88" s="43"/>
      <c r="Q88" s="43"/>
      <c r="R88" s="43"/>
      <c r="S88" s="43"/>
    </row>
    <row r="89" spans="1:19" x14ac:dyDescent="0.2">
      <c r="A89" s="91"/>
      <c r="B89" s="95" t="str">
        <f>'Parameters List'!B89</f>
        <v>σ(dB/m2)</v>
      </c>
      <c r="C89" s="67">
        <f>10*LOG10(C$88)</f>
        <v>-20</v>
      </c>
      <c r="D89" s="67">
        <f>10*LOG10(D$88)</f>
        <v>-10</v>
      </c>
      <c r="F89" s="43"/>
      <c r="G89" s="43"/>
      <c r="H89" s="43"/>
      <c r="I89" s="43"/>
      <c r="J89" s="43"/>
      <c r="K89" s="43"/>
      <c r="L89" s="43"/>
      <c r="M89" s="43"/>
      <c r="N89" s="43"/>
      <c r="O89" s="43"/>
      <c r="P89" s="43"/>
      <c r="Q89" s="43"/>
      <c r="R89" s="43"/>
      <c r="S89" s="43"/>
    </row>
    <row r="90" spans="1:19" x14ac:dyDescent="0.2">
      <c r="A90" s="91"/>
      <c r="B90" s="80" t="str">
        <f>'Parameters List'!B90</f>
        <v>Tgt min range @ADCin (dBm) - Ref. Rx</v>
      </c>
      <c r="C90" s="70">
        <f>$C$185+$C$186+$C$188+C$89+$C$189-$C$190-40*LOG10(C$43)+$C$171-C$84-C$85-$C$179*(C$80=1)</f>
        <v>-74.654927997546451</v>
      </c>
      <c r="D90" s="70">
        <f>$C$185+$C$186+$C$188+D$89+$C$189-$C$190-40*LOG10(D$43)+$C$171-D$84-D$85-$C$179*(D$80=1)</f>
        <v>-43.739778186332956</v>
      </c>
      <c r="F90" s="43"/>
      <c r="G90" s="43"/>
      <c r="H90" s="43"/>
      <c r="I90" s="43"/>
      <c r="J90" s="43"/>
      <c r="K90" s="43"/>
      <c r="L90" s="43"/>
      <c r="M90" s="43"/>
      <c r="N90" s="43"/>
      <c r="O90" s="43"/>
      <c r="P90" s="43"/>
      <c r="Q90" s="43"/>
      <c r="R90" s="43"/>
      <c r="S90" s="43"/>
    </row>
    <row r="91" spans="1:19" x14ac:dyDescent="0.2">
      <c r="A91" s="91"/>
      <c r="B91" s="80" t="str">
        <f>'Parameters List'!B91</f>
        <v>Tgt max range @ADCin (dBm) - Ref. Rx</v>
      </c>
      <c r="C91" s="70">
        <f>$C$185+$C$186+$C$188+C$89+$C$189-$C$190-40*LOG10(C$44)+$C$171-C$84-C$85-$C$179*(C$80=1)</f>
        <v>-91.60995770820395</v>
      </c>
      <c r="D91" s="70">
        <f>$C$185+$C$186+$C$188+D$89+$C$189-$C$190-40*LOG10(D$44)+$C$171-D$84-D$85-$C$179*(D$80=1)</f>
        <v>-59.922601689174996</v>
      </c>
      <c r="F91" s="43"/>
      <c r="G91" s="43"/>
      <c r="H91" s="43"/>
      <c r="I91" s="43"/>
      <c r="J91" s="43"/>
      <c r="K91" s="43"/>
      <c r="L91" s="43"/>
      <c r="M91" s="43"/>
      <c r="N91" s="43"/>
      <c r="O91" s="43"/>
      <c r="P91" s="43"/>
      <c r="Q91" s="43"/>
      <c r="R91" s="43"/>
      <c r="S91" s="43"/>
    </row>
    <row r="92" spans="1:19" x14ac:dyDescent="0.2">
      <c r="A92" s="91"/>
      <c r="B92" s="95" t="str">
        <f>'Parameters List'!B92</f>
        <v>1st Rx Noise @ADCout (dBm/bin)</v>
      </c>
      <c r="C92" s="67">
        <f>C$86+$C$173+$C$171-C$84-C$85+10*LOG10($C$175*10^6)-$C$178*(C$80=1)+10*LOG10($C$156/$C$157)</f>
        <v>-36.229400086720375</v>
      </c>
      <c r="D92" s="67">
        <f>D$86+$C$173+$C$171-D$84-D$85+10*LOG10($C$175*10^6)-$C$178*(D$80=1)+10*LOG10($C$156/$C$157)</f>
        <v>-36.229400086720375</v>
      </c>
      <c r="F92" s="43"/>
      <c r="G92" s="43"/>
      <c r="H92" s="43"/>
      <c r="I92" s="43"/>
      <c r="J92" s="43"/>
      <c r="K92" s="43"/>
      <c r="L92" s="43"/>
      <c r="M92" s="43"/>
      <c r="N92" s="43"/>
      <c r="O92" s="43"/>
      <c r="P92" s="43"/>
      <c r="Q92" s="43"/>
      <c r="R92" s="43"/>
      <c r="S92" s="43"/>
    </row>
    <row r="93" spans="1:19" x14ac:dyDescent="0.2">
      <c r="A93" s="91"/>
      <c r="B93" s="95" t="str">
        <f>'Parameters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'Parameters List'!B94</f>
        <v>Total Noise @ADCout (dBm/bin)</v>
      </c>
      <c r="C94" s="67">
        <f>10*LOG10(10^((C$93 + 10*LOG10($C$157))/10) + 10^((C$92 + 10*LOG10(($C$182-$C$157) / $C$156))/10))+ (10*LOG10(C$34) - C$35) * (C$34&gt;1)</f>
        <v>-27.096496928308373</v>
      </c>
      <c r="D94" s="67">
        <f>10*LOG10(10^((D$93 + 10*LOG10($C$157))/10) + 10^((D$92 + 10*LOG10(($C$182-$C$157) / $C$156))/10))+ (10*LOG10(D$34) - D$35) * (D$34&gt;1)</f>
        <v>-30.106796884948185</v>
      </c>
      <c r="F94" s="43"/>
      <c r="G94" s="43"/>
      <c r="H94" s="43"/>
      <c r="I94" s="43"/>
      <c r="J94" s="43"/>
      <c r="K94" s="43"/>
      <c r="L94" s="43"/>
      <c r="M94" s="43"/>
      <c r="N94" s="43"/>
      <c r="O94" s="43"/>
      <c r="P94" s="43"/>
      <c r="Q94" s="43"/>
      <c r="R94" s="43"/>
      <c r="S94" s="43"/>
    </row>
    <row r="95" spans="1:19" x14ac:dyDescent="0.2">
      <c r="A95" s="91" t="s">
        <v>81</v>
      </c>
      <c r="B95" s="95" t="str">
        <f>'Parameters List'!B95</f>
        <v>Rx Processing Gain (dB)</v>
      </c>
      <c r="C95" s="67">
        <f>10*LOG10(C$46/2 * C$48 * C$51 * C$49) - $C$195</f>
        <v>54.213033002746116</v>
      </c>
      <c r="D95" s="67">
        <f>10*LOG10(D$46/2 * D$48 * D$51 * D$49) - $C$195</f>
        <v>38.703958313940305</v>
      </c>
      <c r="F95" s="43"/>
      <c r="G95" s="43"/>
      <c r="H95" s="43"/>
      <c r="I95" s="43"/>
      <c r="J95" s="43"/>
      <c r="K95" s="43"/>
      <c r="L95" s="43"/>
      <c r="M95" s="43"/>
      <c r="N95" s="43"/>
      <c r="O95" s="43"/>
      <c r="P95" s="43"/>
      <c r="Q95" s="43"/>
      <c r="R95" s="43"/>
      <c r="S95" s="43"/>
    </row>
    <row r="96" spans="1:19" x14ac:dyDescent="0.2">
      <c r="A96" s="91"/>
      <c r="B96" s="95" t="str">
        <f>'Parameters List'!B96</f>
        <v>Total Processing Gain (dB)</v>
      </c>
      <c r="C96" s="67">
        <f>C$95 + 20*LOG10($C$182) + (20*LOG10(C$34) - 2 * C$35) * (C$34&gt;1)-$C$179*(C$80=1)-$C$177*(C$80=1)</f>
        <v>92.489310050420443</v>
      </c>
      <c r="D96" s="67">
        <f>D$95 + 20*LOG10($C$182) + (20*LOG10(D$34) - 2 * D$35) * (D$34&gt;1)-$C$179*(D$80=1)-$C$177*(D$80=1)</f>
        <v>70.959635448335007</v>
      </c>
      <c r="F96" s="43"/>
      <c r="G96" s="43"/>
      <c r="H96" s="43"/>
      <c r="I96" s="43"/>
      <c r="J96" s="43"/>
      <c r="K96" s="43"/>
      <c r="L96" s="43"/>
      <c r="M96" s="43"/>
      <c r="N96" s="43"/>
      <c r="O96" s="43"/>
      <c r="P96" s="43"/>
      <c r="Q96" s="43"/>
      <c r="R96" s="43"/>
      <c r="S96" s="43"/>
    </row>
    <row r="97" spans="1:19" x14ac:dyDescent="0.2">
      <c r="A97" s="92"/>
      <c r="B97" s="95" t="str">
        <f>'Parameters List'!B97</f>
        <v>Total Loss (dB)</v>
      </c>
      <c r="C97" s="67">
        <f>$C$191 + ($C$202*(C$47=0)+$C$203*(C$47=1)+$C$198) + C$61 + C$64</f>
        <v>1.6633115861568424</v>
      </c>
      <c r="D97" s="67">
        <f>$C$191 + ($C$202*(D$47=0)+$C$203*(D$47=1)+$C$198) + D$61 + D$64</f>
        <v>1.6628323922311923</v>
      </c>
    </row>
    <row r="98" spans="1:19" x14ac:dyDescent="0.2">
      <c r="A98" s="91"/>
      <c r="B98" s="80" t="str">
        <f>'Parameters List'!B98</f>
        <v>SNR min range (dB)</v>
      </c>
      <c r="C98" s="70">
        <f>C$90+C$96-C$94-C$97</f>
        <v>43.267567395025516</v>
      </c>
      <c r="D98" s="70">
        <f>D$90+D$96-D$94-D$97</f>
        <v>55.663821754719038</v>
      </c>
      <c r="F98" s="43"/>
      <c r="G98" s="43"/>
      <c r="H98" s="43"/>
      <c r="I98" s="43"/>
      <c r="J98" s="43"/>
      <c r="K98" s="43"/>
      <c r="L98" s="43"/>
      <c r="M98" s="43"/>
      <c r="N98" s="43"/>
      <c r="O98" s="43"/>
      <c r="P98" s="43"/>
      <c r="Q98" s="43"/>
      <c r="R98" s="43"/>
      <c r="S98" s="43"/>
    </row>
    <row r="99" spans="1:19" x14ac:dyDescent="0.2">
      <c r="A99" s="91"/>
      <c r="B99" s="80" t="str">
        <f>'Parameters List'!B99</f>
        <v>SNR max range (dB)</v>
      </c>
      <c r="C99" s="70">
        <f>C$91+C$96-C$94-C$97</f>
        <v>26.312537684368024</v>
      </c>
      <c r="D99" s="70">
        <f>D$91+D$96-D$94-D$97</f>
        <v>39.480998251876997</v>
      </c>
      <c r="F99" s="43"/>
      <c r="G99" s="43"/>
      <c r="H99" s="43"/>
      <c r="I99" s="43"/>
      <c r="J99" s="43"/>
      <c r="K99" s="43"/>
      <c r="L99" s="43"/>
      <c r="M99" s="43"/>
      <c r="N99" s="43"/>
      <c r="O99" s="43"/>
      <c r="P99" s="43"/>
      <c r="Q99" s="43"/>
      <c r="R99" s="43"/>
      <c r="S99" s="43"/>
    </row>
    <row r="100" spans="1:19" x14ac:dyDescent="0.2">
      <c r="A100" s="91"/>
      <c r="B100" s="95" t="str">
        <f>'Parameters List'!B100</f>
        <v>Duty cycle per beam</v>
      </c>
      <c r="C100" s="67">
        <f>C$36/$C$104</f>
        <v>0.27027027027027029</v>
      </c>
      <c r="D100" s="67">
        <f>D$36/$C$104</f>
        <v>8.1081081081081086E-2</v>
      </c>
      <c r="F100" s="43"/>
      <c r="G100" s="43"/>
      <c r="H100" s="43"/>
      <c r="I100" s="43"/>
      <c r="J100" s="43"/>
      <c r="K100" s="43"/>
      <c r="L100" s="43"/>
      <c r="M100" s="43"/>
      <c r="N100" s="43"/>
      <c r="O100" s="43"/>
      <c r="P100" s="43"/>
      <c r="Q100" s="43"/>
      <c r="R100" s="43"/>
      <c r="S100" s="43"/>
    </row>
    <row r="101" spans="1:19" x14ac:dyDescent="0.2">
      <c r="A101" s="91"/>
      <c r="B101" s="95" t="str">
        <f>'Parameters List'!B101</f>
        <v>Buffer size (KB)</v>
      </c>
      <c r="C101" s="67">
        <f>MROUND((IF(C$21, $C$210*$C$155, C$54)*C$51*8+64)/1024,4)</f>
        <v>1760</v>
      </c>
      <c r="D101" s="67">
        <f>MROUND((IF(D$21, $C$210*$C$155, D$54)*D$51*8+64)/1024,4)</f>
        <v>0</v>
      </c>
      <c r="F101" s="43"/>
      <c r="G101" s="43"/>
      <c r="H101" s="43"/>
      <c r="I101" s="43"/>
      <c r="J101" s="43"/>
      <c r="K101" s="43"/>
      <c r="L101" s="43"/>
      <c r="M101" s="43"/>
      <c r="N101" s="43"/>
      <c r="O101" s="43"/>
      <c r="P101" s="43"/>
      <c r="Q101" s="43"/>
      <c r="R101" s="43"/>
      <c r="S101" s="43"/>
    </row>
    <row r="102" spans="1:19" x14ac:dyDescent="0.2">
      <c r="A102" s="91"/>
      <c r="B102" s="95" t="str">
        <f>'Parameters List'!B102</f>
        <v>PCIe Rate MB/s</v>
      </c>
      <c r="C102" s="67">
        <f>C$101*1024/C$30/1024</f>
        <v>35.732848232848227</v>
      </c>
      <c r="D102" s="67">
        <f>D$101*1024/D$30/1024</f>
        <v>0</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'Parameters List'!B104</f>
        <v>Total PRI (μs)</v>
      </c>
      <c r="C104" s="77">
        <f>(SUMIF($E$13:$AJ$13,"=1",$E$18:$AJ$18)*C$46+SUMIF($E$13:$AJ$13,"=2",$E$18:$AJ$18)*D$46)*$C$174+$C$208+COUNTIFS(E$13:AJ$13,"=1",E$15:AJ$15,"=1") * C$32 + COUNTIFS(E$13:AJ$13,"=1",E$15:AJ$15,"=2") * C$33 + COUNTIFS(E$13:AJ$13,"=2",E$15:AJ$15,"=1") * D$32 + COUNTIFS(E$13:AJ$13,"=2",E$15:AJ$15,"=2") * D$33</f>
        <v>48.1</v>
      </c>
      <c r="F104" s="43"/>
      <c r="G104" s="43"/>
      <c r="H104" s="43"/>
      <c r="I104" s="43"/>
      <c r="J104" s="43"/>
      <c r="K104" s="43"/>
      <c r="L104" s="43"/>
      <c r="M104" s="43"/>
      <c r="N104" s="43"/>
      <c r="O104" s="43"/>
      <c r="P104" s="43"/>
      <c r="Q104" s="43"/>
      <c r="R104" s="43"/>
      <c r="S104" s="43"/>
    </row>
    <row r="105" spans="1:19" x14ac:dyDescent="0.2">
      <c r="B105" s="76" t="str">
        <f>'Parameters List'!B105</f>
        <v>Unambiguous Range (km)</v>
      </c>
      <c r="C105" s="77">
        <f>$C$104*$C$163/1000</f>
        <v>7.2100086149000004</v>
      </c>
      <c r="F105" s="43"/>
      <c r="G105" s="43"/>
      <c r="H105" s="43"/>
      <c r="I105" s="43"/>
      <c r="J105" s="43"/>
      <c r="K105" s="43"/>
      <c r="L105" s="43"/>
      <c r="M105" s="43"/>
      <c r="N105" s="43"/>
      <c r="O105" s="43"/>
      <c r="P105" s="43"/>
      <c r="Q105" s="43"/>
      <c r="R105" s="43"/>
      <c r="S105" s="43"/>
    </row>
    <row r="106" spans="1:19" x14ac:dyDescent="0.2">
      <c r="B106" s="76" t="str">
        <f>'Parameters List'!B106</f>
        <v>Total PRF (kHz)</v>
      </c>
      <c r="C106" s="77">
        <f>1000/$C$104</f>
        <v>20.79002079002079</v>
      </c>
      <c r="F106" s="43"/>
      <c r="G106" s="43"/>
      <c r="H106" s="43"/>
      <c r="I106" s="43"/>
      <c r="J106" s="43"/>
      <c r="K106" s="43"/>
      <c r="L106" s="43"/>
      <c r="M106" s="43"/>
      <c r="N106" s="43"/>
      <c r="O106" s="43"/>
      <c r="P106" s="43"/>
      <c r="Q106" s="43"/>
      <c r="R106" s="43"/>
      <c r="S106" s="43"/>
    </row>
    <row r="107" spans="1:19" x14ac:dyDescent="0.2">
      <c r="B107" s="76" t="str">
        <f>'Parameters List'!B107</f>
        <v>Folding (Blind) Velocity (m/s)</v>
      </c>
      <c r="C107" s="77">
        <f>1000*$C$106/$C$168</f>
        <v>890.38449064449071</v>
      </c>
      <c r="F107" s="43"/>
      <c r="G107" s="43"/>
      <c r="H107" s="43"/>
      <c r="I107" s="43"/>
      <c r="J107" s="43"/>
      <c r="K107" s="43"/>
      <c r="L107" s="43"/>
      <c r="M107" s="43"/>
      <c r="N107" s="43"/>
      <c r="O107" s="43"/>
      <c r="P107" s="43"/>
      <c r="Q107" s="43"/>
      <c r="R107" s="43"/>
      <c r="S107" s="43"/>
    </row>
    <row r="108" spans="1:19" x14ac:dyDescent="0.2">
      <c r="B108" s="76" t="str">
        <f>'Parameters List'!B108</f>
        <v>Max Trk Vr STD for Res Vel Amb (m/s)</v>
      </c>
      <c r="C108" s="77">
        <f>$C$107/4</f>
        <v>222.59612266112268</v>
      </c>
      <c r="F108" s="43"/>
      <c r="G108" s="43"/>
      <c r="H108" s="43"/>
      <c r="I108" s="43"/>
      <c r="J108" s="43"/>
      <c r="K108" s="43"/>
      <c r="L108" s="43"/>
      <c r="M108" s="43"/>
      <c r="N108" s="43"/>
      <c r="O108" s="43"/>
      <c r="P108" s="43"/>
      <c r="Q108" s="43"/>
      <c r="R108" s="43"/>
      <c r="S108" s="43"/>
    </row>
    <row r="109" spans="1:19" x14ac:dyDescent="0.2">
      <c r="B109" s="76" t="str">
        <f>'Parameters List'!B109</f>
        <v>Antenna 1 PA Duty cycle</v>
      </c>
      <c r="C109" s="77">
        <f>C$100*IF(C$27&gt;0,C$27,C$26)+D$100*IF(D$27&gt;0,D$27,D$26)</f>
        <v>0.27027027027027029</v>
      </c>
      <c r="F109" s="43"/>
      <c r="G109" s="43"/>
      <c r="H109" s="43"/>
      <c r="I109" s="43"/>
      <c r="J109" s="43"/>
      <c r="K109" s="43"/>
      <c r="L109" s="43"/>
      <c r="M109" s="43"/>
      <c r="N109" s="43"/>
      <c r="O109" s="43"/>
      <c r="P109" s="43"/>
      <c r="Q109" s="43"/>
      <c r="R109" s="43"/>
      <c r="S109" s="43"/>
    </row>
    <row r="110" spans="1:19" x14ac:dyDescent="0.2">
      <c r="B110" s="76" t="str">
        <f>'Parameters List'!B110</f>
        <v>Antenna 2 PA Duty cycle</v>
      </c>
      <c r="C110" s="77">
        <f>C$100*IF(C$28&gt;0,C$28,C$26)+D$100*IF(D$28&gt;0,D$28,D$26)</f>
        <v>0.27027027027027029</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'Parameters List'!B112</f>
        <v>Tgt RCS (m^2):</v>
      </c>
      <c r="C112" s="74">
        <v>100</v>
      </c>
      <c r="D112" s="74">
        <v>0.1</v>
      </c>
      <c r="F112" s="43"/>
      <c r="G112" s="43"/>
      <c r="H112" s="43"/>
      <c r="I112" s="43"/>
      <c r="J112" s="43"/>
      <c r="K112" s="43"/>
      <c r="L112" s="43"/>
      <c r="M112" s="43"/>
      <c r="N112" s="43"/>
      <c r="O112" s="43"/>
      <c r="P112" s="43"/>
      <c r="Q112" s="43"/>
      <c r="R112" s="43"/>
      <c r="S112" s="43"/>
    </row>
    <row r="113" spans="2:19" x14ac:dyDescent="0.2">
      <c r="B113" s="78" t="str">
        <f>'Parameters List'!B113</f>
        <v>SNR @ Range (m):</v>
      </c>
      <c r="C113" s="74">
        <v>50000</v>
      </c>
      <c r="D113" s="74">
        <f>$C$163*D$36 + D$41</f>
        <v>584.59529310000005</v>
      </c>
    </row>
    <row r="114" spans="2:19" x14ac:dyDescent="0.2">
      <c r="B114" s="79" t="str">
        <f>'Parameters List'!B114</f>
        <v>Tgt @ADCin (dBm) - Ref. Rx</v>
      </c>
      <c r="C114" s="70">
        <f>$C$185+$C$186+$C$188+10*LOG10(C$112)+$C$189-$C$190-40*LOG10(C$113)+$C$171-C$84-C$85-$C$179*(C$80=1)</f>
        <v>-91.024365788155876</v>
      </c>
      <c r="D114" s="70">
        <f>$C$185+$C$186+$C$188+10*LOG10(D$112)+$C$189-$C$190-40*LOG10(D$113)+$C$171-D$84-D$85-$C$179*(D$80=1)</f>
        <v>-43.739778186332956</v>
      </c>
    </row>
    <row r="115" spans="2:19" x14ac:dyDescent="0.2">
      <c r="B115" s="95" t="str">
        <f>'Parameters List'!B115</f>
        <v>Tgt @ADCin (dBm) - 1st Rx - no calib.</v>
      </c>
      <c r="C115" s="70">
        <f>C$114-($C$188+$C$171-C$84-C$85-$C$179*(C$80=1))+$C$187+$C$170-C$82-C$83-$C$177*(C$80=1)</f>
        <v>-85.024365788155876</v>
      </c>
      <c r="D115" s="70">
        <f>D$114-($C$188+$C$171-D$84-D$85-$C$179*(D$80=1))+$C$187+$C$170-D$82-D$83-$C$177*(D$80=1)</f>
        <v>-37.739778186332956</v>
      </c>
      <c r="F115" s="43"/>
      <c r="G115" s="43"/>
      <c r="H115" s="43"/>
      <c r="I115" s="43"/>
      <c r="J115" s="43"/>
      <c r="K115" s="43"/>
      <c r="L115" s="43"/>
      <c r="M115" s="43"/>
      <c r="N115" s="43"/>
      <c r="O115" s="43"/>
      <c r="P115" s="43"/>
      <c r="Q115" s="43"/>
      <c r="R115" s="43"/>
      <c r="S115" s="43"/>
    </row>
    <row r="116" spans="2:19" x14ac:dyDescent="0.2">
      <c r="B116" s="95" t="str">
        <f>'Parameters List'!B116</f>
        <v>Tgt @ADCout (dBm) - 1st Rx</v>
      </c>
      <c r="C116" s="70">
        <f>C$114+20*LOG10($C$156/$C$157)-$C$177*(C$80=1)</f>
        <v>-71.024365788155876</v>
      </c>
      <c r="D116" s="70">
        <f>D$114+20*LOG10($C$156/$C$157)-$C$177*(D$80=1)</f>
        <v>-23.739778186332956</v>
      </c>
      <c r="F116" s="43"/>
      <c r="G116" s="43"/>
      <c r="H116" s="43"/>
      <c r="I116" s="43"/>
      <c r="J116" s="43"/>
      <c r="K116" s="43"/>
      <c r="L116" s="43"/>
      <c r="M116" s="43"/>
      <c r="N116" s="43"/>
      <c r="O116" s="43"/>
      <c r="P116" s="43"/>
      <c r="Q116" s="43"/>
      <c r="R116" s="43"/>
      <c r="S116" s="43"/>
    </row>
    <row r="117" spans="2:19" x14ac:dyDescent="0.2">
      <c r="B117" s="95" t="str">
        <f>'Parameters List'!B117</f>
        <v>Tgt @ADCout (dBm)</v>
      </c>
      <c r="C117" s="70">
        <f>20*LOG10(10^(C$114/20)+($C$155-1)*10^(C$116/20))+ (20*LOG10(C$34) - 2 * C$35) * (C$34&gt;1)</f>
        <v>-52.748088740481542</v>
      </c>
      <c r="D117" s="70">
        <f>20*LOG10(10^(D$114/20)+($C$155-1)*10^(D$116/20))+ (20*LOG10(D$34) - 2 * D$35) * (D$34&gt;1)</f>
        <v>-11.484101051938245</v>
      </c>
      <c r="G117" s="43"/>
      <c r="H117" s="43"/>
      <c r="I117" s="43"/>
      <c r="J117" s="43"/>
      <c r="K117" s="43"/>
      <c r="L117" s="43"/>
      <c r="M117" s="43"/>
      <c r="N117" s="43"/>
      <c r="O117" s="43"/>
      <c r="P117" s="43"/>
      <c r="Q117" s="43"/>
      <c r="R117" s="43"/>
      <c r="S117" s="43"/>
    </row>
    <row r="118" spans="2:19" x14ac:dyDescent="0.2">
      <c r="B118" s="79" t="str">
        <f>'Parameters List'!B118</f>
        <v>SNR (dB)</v>
      </c>
      <c r="C118" s="70">
        <f>C117-C$94-C$97+C$95</f>
        <v>26.898129604416106</v>
      </c>
      <c r="D118" s="70">
        <f>D117-D$94-D$97+D$95</f>
        <v>55.663821754719052</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'Parameters List'!B120</f>
        <v>Probability of Detection @ SNR (dB):</v>
      </c>
      <c r="C120" s="64">
        <v>15</v>
      </c>
      <c r="D120" s="64">
        <v>18</v>
      </c>
    </row>
    <row r="121" spans="2:19" x14ac:dyDescent="0.2">
      <c r="B121" s="71" t="str">
        <f>'Parameters List'!B121</f>
        <v>SWERLING (0, I, II, III, IV)</v>
      </c>
      <c r="C121" s="64">
        <v>1</v>
      </c>
      <c r="D121" s="64">
        <v>0</v>
      </c>
    </row>
    <row r="122" spans="2:19" x14ac:dyDescent="0.2">
      <c r="B122" s="79" t="str">
        <f>'Parameters List'!B122</f>
        <v>Probability of Detection</v>
      </c>
      <c r="C122" s="70">
        <f>pf_PD_PFA_CFAR("pd", C$74, C$120, C$121, C$68*2, 1)</f>
        <v>0.6181820390905115</v>
      </c>
      <c r="D122" s="70">
        <f>pf_PD_PFA_CFAR("pd", D$74, D$120, D$121, D$68*2, 1)</f>
        <v>0.99847320708078879</v>
      </c>
    </row>
    <row r="123" spans="2:19" x14ac:dyDescent="0.2">
      <c r="B123" s="71" t="str">
        <f>'Parameters List'!B123</f>
        <v>Pd for at least N of M detections (N,M)</v>
      </c>
      <c r="C123" s="105" t="s">
        <v>386</v>
      </c>
      <c r="D123" s="105" t="s">
        <v>386</v>
      </c>
    </row>
    <row r="124" spans="2:19" x14ac:dyDescent="0.2">
      <c r="B124" s="79" t="str">
        <f>'Parameters List'!B124</f>
        <v>Probability of Detection</v>
      </c>
      <c r="C124" s="70">
        <f>pf_PD_N_OUTOF_M(C$122, LEFT(C$123,FIND(",",C$123,1) - 1), MID(C$123,FIND(",",C$123,1)+1,100))</f>
        <v>0.92619322925372272</v>
      </c>
      <c r="D124" s="70">
        <f>pf_PD_N_OUTOF_M(D$122, LEFT(D$123,FIND(",",D$123,1) - 1), MID(D$123,FIND(",",D$123,1)+1,100))</f>
        <v>0.99999999997286315</v>
      </c>
    </row>
    <row r="125" spans="2:19" x14ac:dyDescent="0.2">
      <c r="B125" s="75"/>
    </row>
    <row r="126" spans="2:19" x14ac:dyDescent="0.2">
      <c r="B126" s="71" t="str">
        <f>'Parameters List'!B126</f>
        <v>Target Revisit Time (sec)</v>
      </c>
      <c r="C126" s="64">
        <v>0.05</v>
      </c>
      <c r="D126" s="64">
        <v>0.05</v>
      </c>
    </row>
    <row r="127" spans="2:19" x14ac:dyDescent="0.2">
      <c r="B127" s="68" t="str">
        <f>'Parameters List'!B127</f>
        <v>Acceleration Folding (m/s2)</v>
      </c>
      <c r="C127" s="67">
        <f>$C$107/C$126</f>
        <v>17807.689812889814</v>
      </c>
      <c r="D127" s="67">
        <f>$C$107/D$126</f>
        <v>17807.689812889814</v>
      </c>
    </row>
    <row r="128" spans="2:19" x14ac:dyDescent="0.2">
      <c r="B128" s="80" t="str">
        <f>'Parameters List'!B128</f>
        <v>Maximum Allowed Acceleration (m/s2)</v>
      </c>
      <c r="C128" s="70">
        <f>($C$107/4)/C$126</f>
        <v>4451.9224532224534</v>
      </c>
      <c r="D128" s="70">
        <f>($C$107/4)/D$126</f>
        <v>4451.9224532224534</v>
      </c>
    </row>
    <row r="129" spans="2:19" x14ac:dyDescent="0.2">
      <c r="B129" s="80" t="str">
        <f>'Parameters List'!B129</f>
        <v>Acceleration Ambiguity (m/s2)</v>
      </c>
      <c r="C129" s="70">
        <f>C$127-C$128</f>
        <v>13355.767359667359</v>
      </c>
      <c r="D129" s="70">
        <f>D$127-D$128</f>
        <v>13355.767359667359</v>
      </c>
    </row>
    <row r="130" spans="2:19" x14ac:dyDescent="0.2">
      <c r="B130" s="75"/>
    </row>
    <row r="131" spans="2:19" x14ac:dyDescent="0.2">
      <c r="B131" s="78" t="str">
        <f>'Parameters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'Parameters List'!B132</f>
        <v>SNR @ Range (m):</v>
      </c>
      <c r="C132" s="74">
        <f>$C$163*C$36 + C$41</f>
        <v>1948.650977</v>
      </c>
      <c r="D132" s="74">
        <f>$C$163*D$36 + D$41</f>
        <v>584.59529310000005</v>
      </c>
    </row>
    <row r="133" spans="2:19" x14ac:dyDescent="0.2">
      <c r="B133" s="79" t="str">
        <f>'Parameters List'!B133</f>
        <v>Tgt @ADCin (dBm) - Ref. Rx</v>
      </c>
      <c r="C133" s="70">
        <f>$C$185+$C$186+$C$188+10*LOG10(C$131)+$C$189-$C$190-40*LOG10(C$132)+$C$171-C$84-C$85-$C$179*(C$80=1)</f>
        <v>-74.654927997546451</v>
      </c>
      <c r="D133" s="70">
        <f>$C$185+$C$186+$C$188+10*LOG10(D$131)+$C$189-$C$190-40*LOG10(D$132)+$C$171-D$84-D$85-$C$179*(D$80=1)</f>
        <v>-43.739778186332956</v>
      </c>
    </row>
    <row r="134" spans="2:19" x14ac:dyDescent="0.2">
      <c r="B134" s="78" t="str">
        <f>'Parameters List'!B134</f>
        <v>Interferer @ Range (m)</v>
      </c>
      <c r="C134" s="74">
        <v>10000</v>
      </c>
      <c r="D134" s="74">
        <v>10000</v>
      </c>
    </row>
    <row r="135" spans="2:19" x14ac:dyDescent="0.2">
      <c r="B135" s="79" t="str">
        <f>'Parameters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'Parameters List'!B136</f>
        <v>Interferer @ ADCin (dBm) - 1st Rx</v>
      </c>
      <c r="C136" s="70">
        <f>C$135+20*LOG10($C$156/$C$157)-$C$177*(C$80=1)</f>
        <v>27.926533025505833</v>
      </c>
      <c r="D136" s="70">
        <f>$C$185+$C$186+$C$187-$C$166+$C$189-$C$190/3*2-20*LOG10(D$134)+$C$170-D$84-D$85-$C$177*(D$80=1)</f>
        <v>23.926533025505833</v>
      </c>
    </row>
    <row r="137" spans="2:19" x14ac:dyDescent="0.2">
      <c r="B137" s="81" t="str">
        <f>'Parameters List'!B137</f>
        <v>Ref. Rx Phase Noise @ADCin (dBm/bin)</v>
      </c>
      <c r="C137" s="67">
        <f>C$135+$C$165+10*LOG10(1/(C$30*10^-3))+10*LOG10($C$175*10^6/($C$106*10^3))</f>
        <v>-71.155866627612667</v>
      </c>
      <c r="D137" s="67">
        <f>D$135+$C$165+10*LOG10(1/(D$30*10^-3))+10*LOG10($C$175*10^6/($C$106*10^3))</f>
        <v>-60.875579391610231</v>
      </c>
    </row>
    <row r="138" spans="2:19" x14ac:dyDescent="0.2">
      <c r="B138" s="81" t="str">
        <f>'Parameters List'!B138</f>
        <v>Ref. Rx Phase Noise @ADCout (dBm/bin)</v>
      </c>
      <c r="C138" s="67">
        <f>C$137+C$95</f>
        <v>-16.942833624866552</v>
      </c>
      <c r="D138" s="67">
        <f>D$137+D$95</f>
        <v>-22.171621077669926</v>
      </c>
    </row>
    <row r="139" spans="2:19" x14ac:dyDescent="0.2">
      <c r="B139" s="81" t="str">
        <f>'Parameters List'!B139</f>
        <v>Ref. Rx Total Noise @ADCout (dBm/bin)</v>
      </c>
      <c r="C139" s="67">
        <f>10*LOG10(10 ^ (C$138 / 10) + 10 ^ (C$93 / 10))</f>
        <v>-16.937970846191558</v>
      </c>
      <c r="D139" s="67">
        <f>10*LOG10(10 ^ (D$138 / 10) + 10 ^ (D$93 / 10))</f>
        <v>-22.155432945098731</v>
      </c>
    </row>
    <row r="140" spans="2:19" x14ac:dyDescent="0.2">
      <c r="B140" s="81" t="str">
        <f>'Parameters List'!B140</f>
        <v>1st Rx Phase Noise @ADCout (dBm/bin)</v>
      </c>
      <c r="C140" s="67">
        <f>C$136+$C$165+10*LOG10(1/(C$30*10^-3))+10*LOG10($C$175*10^6/($C$106*10^3))+C$95</f>
        <v>3.0571663751334484</v>
      </c>
      <c r="D140" s="67">
        <f>D$136+$C$165+10*LOG10(1/(D$30*10^-3))+10*LOG10($C$175*10^6/($C$106*10^3))+D$95</f>
        <v>-6.1716210776699256</v>
      </c>
    </row>
    <row r="141" spans="2:19" x14ac:dyDescent="0.2">
      <c r="B141" s="81" t="str">
        <f>'Parameters List'!B141</f>
        <v>1st Rx Total Noise @ADCout (dBm/bin)</v>
      </c>
      <c r="C141" s="67">
        <f>10*LOG10(10 ^ (C$140 / 10) + 10 ^ (C$92 / 10))</f>
        <v>3.057678177246681</v>
      </c>
      <c r="D141" s="67">
        <f>10*LOG10(10 ^ (D$140 / 10) + 10 ^ (D$92 / 10))</f>
        <v>-6.1673376422750081</v>
      </c>
    </row>
    <row r="142" spans="2:19" x14ac:dyDescent="0.2">
      <c r="B142" s="81" t="str">
        <f>'Parameters List'!B142</f>
        <v>Total Noise Power @ADCout (dBm/bin)</v>
      </c>
      <c r="C142" s="67">
        <f>10*LOG10((($C$155-1) * 10^(C$140/20) + 10^(C$138/20))^2*((C$34 - 10^(C$35/10))*(C$34&gt;1) + 1) ^ 2 + 10^(C$94/10))</f>
        <v>21.333505765730546</v>
      </c>
      <c r="D142" s="67">
        <f>10*LOG10((($C$155-1) * 10^(D$140/20) + 10^(D$138/20))^2*((D$34 - 10^(D$35/10))*(D$34&gt;1) + 1) ^ 2 + 10^(D$94/10))</f>
        <v>6.2081054464318708</v>
      </c>
    </row>
    <row r="143" spans="2:19" x14ac:dyDescent="0.2">
      <c r="B143" s="79" t="str">
        <f>'Parameters List'!B143</f>
        <v>SNR (dB)</v>
      </c>
      <c r="C143" s="70">
        <f>IF(C$134&lt;=0, C$133+C$96-C$94, C$133+C$96 -C$142)-C$97</f>
        <v>-5.1624352990133975</v>
      </c>
      <c r="D143" s="70">
        <f>IF(D$134&lt;=0, D$133+D$96-D$94, D$133+D$96 -D$142)-D$97</f>
        <v>19.348919423338987</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'Parameters List'!B146</f>
        <v>Ref Rx Noise @ADCout (dBm/bin)</v>
      </c>
      <c r="C146" s="70">
        <f>C$93-C$95</f>
        <v>-100.66243308946649</v>
      </c>
      <c r="D146" s="83">
        <f>D$93-D$95</f>
        <v>-85.153358400660679</v>
      </c>
      <c r="F146" s="43"/>
      <c r="G146" s="43"/>
      <c r="H146" s="43"/>
      <c r="I146" s="43"/>
      <c r="J146" s="43"/>
      <c r="K146" s="43"/>
      <c r="L146" s="43"/>
      <c r="M146" s="43"/>
      <c r="N146" s="43"/>
      <c r="O146" s="43"/>
      <c r="P146" s="43"/>
      <c r="Q146" s="43"/>
      <c r="R146" s="43"/>
      <c r="S146" s="43"/>
    </row>
    <row r="147" spans="2:19" x14ac:dyDescent="0.2">
      <c r="B147" s="82" t="str">
        <f>'Parameters List'!B147</f>
        <v>1st Rx Noise @ADCout (dBm/bin)</v>
      </c>
      <c r="C147" s="70">
        <f>C$92-C$95</f>
        <v>-90.442433089466491</v>
      </c>
      <c r="D147" s="83">
        <f>D$92-D$95</f>
        <v>-74.93335840066068</v>
      </c>
    </row>
    <row r="148" spans="2:19" ht="15" thickBot="1" x14ac:dyDescent="0.25">
      <c r="B148" s="84" t="str">
        <f>'Parameters List'!B148</f>
        <v>Beam Total Noise @ADCout (dBm/bin)</v>
      </c>
      <c r="C148" s="85">
        <f>C$94-C$95 - (10*LOG10(C$34) - C$35) * (C$34&gt;1)</f>
        <v>-84.319829887694297</v>
      </c>
      <c r="D148" s="86">
        <f>D$94-D$95 - (10*LOG10(D$34) - D$35) * (D$34&gt;1)</f>
        <v>-68.810755198888486</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'Parameters List'!B151</f>
        <v>Ref Rx Noise @ADCout (dBm/bin)</v>
      </c>
      <c r="C151" s="70">
        <f>C$139-C$95</f>
        <v>-71.151003848937677</v>
      </c>
      <c r="D151" s="83">
        <f>D$139-D$95</f>
        <v>-60.859391259039036</v>
      </c>
      <c r="F151" s="43"/>
      <c r="G151" s="43"/>
      <c r="H151" s="43"/>
      <c r="I151" s="43"/>
      <c r="J151" s="43"/>
      <c r="K151" s="43"/>
      <c r="L151" s="43"/>
      <c r="M151" s="43"/>
      <c r="N151" s="43"/>
      <c r="O151" s="43"/>
      <c r="P151" s="43"/>
      <c r="Q151" s="43"/>
      <c r="R151" s="43"/>
      <c r="S151" s="43"/>
    </row>
    <row r="152" spans="2:19" x14ac:dyDescent="0.2">
      <c r="B152" s="82" t="str">
        <f>'Parameters List'!B152</f>
        <v>1st Rx Noise @ADCout (dBm/bin)</v>
      </c>
      <c r="C152" s="70">
        <f>C$141-C$95</f>
        <v>-51.155354825499437</v>
      </c>
      <c r="D152" s="83">
        <f>D$141-D$95</f>
        <v>-44.871295956215313</v>
      </c>
    </row>
    <row r="153" spans="2:19" ht="15" thickBot="1" x14ac:dyDescent="0.25">
      <c r="B153" s="84" t="str">
        <f>'Parameters List'!B153</f>
        <v>Beam Total Noise @ADCout (dBm/bin)</v>
      </c>
      <c r="C153" s="85">
        <f>10*LOG10(10 ^ ((C$137 + C$96 - (20*LOG10(C$34) - 2*C$35) * (C$34&gt;1))/ 10) + 10 ^ ((C$94 - (10*LOG10(C$34) - C$35) * (C$34&gt;1)) / 10)) - C$95</f>
        <v>-38.900064808267352</v>
      </c>
      <c r="D153" s="86">
        <f>10*LOG10(10 ^ ((D$137 + D$96 - (20*LOG10(D$34) - 2*D$35) * (D$34&gt;1))/ 10) + 10 ^ ((D$94 - (10*LOG10(D$34) - D$35) * (D$34&gt;1)) / 10)) - D$95</f>
        <v>-28.619486654633697</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'General System Parameters'!B9</f>
        <v># Rcvrs</v>
      </c>
      <c r="C155" s="33">
        <f>'General System Parameters'!C9</f>
        <v>5</v>
      </c>
      <c r="F155" s="43"/>
      <c r="G155" s="43"/>
      <c r="H155" s="43"/>
      <c r="I155" s="43"/>
      <c r="J155" s="43"/>
      <c r="K155" s="43"/>
      <c r="L155" s="43"/>
      <c r="M155" s="43"/>
      <c r="N155" s="43"/>
      <c r="O155" s="43"/>
      <c r="P155" s="43"/>
      <c r="Q155" s="43"/>
      <c r="R155" s="43"/>
      <c r="S155" s="43"/>
    </row>
    <row r="156" spans="2:19" x14ac:dyDescent="0.2">
      <c r="B156" s="32" t="str">
        <f>'General System Parameters'!B10</f>
        <v># Patches in 1st Rx</v>
      </c>
      <c r="C156" s="33">
        <f>'General System Parameters'!C10</f>
        <v>10</v>
      </c>
      <c r="F156" s="43"/>
      <c r="G156" s="43"/>
      <c r="H156" s="43"/>
      <c r="I156" s="43"/>
      <c r="J156" s="43"/>
      <c r="K156" s="43"/>
      <c r="L156" s="43"/>
      <c r="M156" s="43"/>
      <c r="N156" s="43"/>
      <c r="O156" s="43"/>
      <c r="P156" s="43"/>
      <c r="Q156" s="43"/>
      <c r="R156" s="43"/>
      <c r="S156" s="43"/>
    </row>
    <row r="157" spans="2:19" x14ac:dyDescent="0.2">
      <c r="B157" s="32" t="str">
        <f>'General System Parameters'!B11</f>
        <v># Patches in Ref (Guard) Rx</v>
      </c>
      <c r="C157" s="33">
        <f>'General System Parameters'!C11</f>
        <v>1</v>
      </c>
      <c r="F157" s="43"/>
      <c r="G157" s="43"/>
      <c r="H157" s="43"/>
      <c r="I157" s="43"/>
      <c r="J157" s="43"/>
      <c r="K157" s="43"/>
      <c r="L157" s="43"/>
      <c r="M157" s="43"/>
      <c r="N157" s="43"/>
      <c r="O157" s="43"/>
      <c r="P157" s="43"/>
      <c r="Q157" s="43"/>
      <c r="R157" s="43"/>
      <c r="S157" s="43"/>
    </row>
    <row r="158" spans="2:19" x14ac:dyDescent="0.2">
      <c r="B158" s="32" t="str">
        <f>'General System Parameters'!B12</f>
        <v>Typical System Gain (dB) - 1st Rx</v>
      </c>
      <c r="C158" s="33">
        <f>'General System Parameters'!C12</f>
        <v>59.76</v>
      </c>
      <c r="F158" s="43"/>
      <c r="G158" s="43"/>
      <c r="H158" s="43"/>
      <c r="I158" s="43"/>
      <c r="J158" s="43"/>
      <c r="K158" s="43"/>
      <c r="L158" s="43"/>
      <c r="M158" s="43"/>
      <c r="N158" s="43"/>
      <c r="O158" s="43"/>
      <c r="P158" s="43"/>
      <c r="Q158" s="43"/>
      <c r="R158" s="43"/>
      <c r="S158" s="43"/>
    </row>
    <row r="159" spans="2:19" x14ac:dyDescent="0.2">
      <c r="B159" s="32" t="str">
        <f>'General System Parameters'!B13</f>
        <v>Typical System Gain (dB) - Ref (Guard) Rx</v>
      </c>
      <c r="C159" s="33">
        <f>'General System Parameters'!C13</f>
        <v>54.1</v>
      </c>
      <c r="F159" s="43"/>
      <c r="G159" s="43"/>
      <c r="H159" s="43"/>
      <c r="I159" s="43"/>
      <c r="J159" s="43"/>
      <c r="K159" s="43"/>
      <c r="L159" s="43"/>
      <c r="M159" s="43"/>
      <c r="N159" s="43"/>
      <c r="O159" s="43"/>
      <c r="P159" s="43"/>
      <c r="Q159" s="43"/>
      <c r="R159" s="43"/>
      <c r="S159" s="43"/>
    </row>
    <row r="160" spans="2:19" x14ac:dyDescent="0.2">
      <c r="B160" s="32" t="str">
        <f>'General System Parameters'!B14</f>
        <v>Typical 1st Rx Calibration (dB)</v>
      </c>
      <c r="C160" s="33">
        <f>'General System Parameters'!C14</f>
        <v>4.3400000000000105</v>
      </c>
      <c r="F160" s="43"/>
      <c r="G160" s="43"/>
      <c r="H160" s="43"/>
      <c r="I160" s="43"/>
      <c r="J160" s="43"/>
      <c r="K160" s="43"/>
      <c r="L160" s="43"/>
      <c r="M160" s="43"/>
      <c r="N160" s="43"/>
      <c r="O160" s="43"/>
      <c r="P160" s="43"/>
      <c r="Q160" s="43"/>
      <c r="R160" s="43"/>
      <c r="S160" s="43"/>
    </row>
    <row r="161" spans="2:19" x14ac:dyDescent="0.2">
      <c r="B161" s="32" t="str">
        <f>'General System Parameters'!B15</f>
        <v>System Propagation Delay (us)</v>
      </c>
      <c r="C161" s="33">
        <f>'General System Parameters'!C15</f>
        <v>0.15</v>
      </c>
      <c r="F161" s="43"/>
      <c r="G161" s="43"/>
      <c r="H161" s="43"/>
      <c r="I161" s="43"/>
      <c r="J161" s="43"/>
      <c r="K161" s="43"/>
      <c r="L161" s="43"/>
      <c r="M161" s="43"/>
      <c r="N161" s="43"/>
      <c r="O161" s="43"/>
      <c r="P161" s="43"/>
      <c r="Q161" s="43"/>
      <c r="R161" s="43"/>
      <c r="S161" s="43"/>
    </row>
    <row r="162" spans="2:19" x14ac:dyDescent="0.2">
      <c r="B162" s="32" t="str">
        <f>'General System Parameters'!B16</f>
        <v>c (m/s)</v>
      </c>
      <c r="C162" s="33">
        <f>'General System Parameters'!C16</f>
        <v>299792458</v>
      </c>
      <c r="F162" s="43"/>
      <c r="G162" s="43"/>
      <c r="H162" s="43"/>
      <c r="I162" s="43"/>
      <c r="J162" s="43"/>
      <c r="K162" s="43"/>
      <c r="L162" s="43"/>
      <c r="M162" s="43"/>
      <c r="N162" s="43"/>
      <c r="O162" s="43"/>
      <c r="P162" s="43"/>
      <c r="Q162" s="43"/>
      <c r="R162" s="43"/>
      <c r="S162" s="43"/>
    </row>
    <row r="163" spans="2:19" x14ac:dyDescent="0.2">
      <c r="B163" s="32" t="str">
        <f>'General System Parameters'!B17</f>
        <v>c/2 (m/μs)</v>
      </c>
      <c r="C163" s="33">
        <f>'General System Parameters'!C17</f>
        <v>149.89622900000001</v>
      </c>
      <c r="F163" s="43"/>
      <c r="G163" s="43"/>
      <c r="H163" s="43"/>
      <c r="I163" s="43"/>
      <c r="J163" s="43"/>
      <c r="K163" s="43"/>
      <c r="L163" s="43"/>
      <c r="M163" s="43"/>
      <c r="N163" s="43"/>
      <c r="O163" s="43"/>
      <c r="P163" s="43"/>
      <c r="Q163" s="43"/>
      <c r="R163" s="43"/>
      <c r="S163" s="43"/>
    </row>
    <row r="164" spans="2:19" x14ac:dyDescent="0.2">
      <c r="B164" s="30" t="str">
        <f>'General System Parameters'!B18</f>
        <v>Freq (GHz)</v>
      </c>
      <c r="C164" s="31">
        <f>'General System Parameters'!C18</f>
        <v>3.5</v>
      </c>
      <c r="F164" s="43"/>
      <c r="G164" s="43"/>
      <c r="H164" s="43"/>
      <c r="I164" s="43"/>
      <c r="J164" s="43"/>
      <c r="K164" s="43"/>
      <c r="L164" s="43"/>
      <c r="M164" s="43"/>
      <c r="N164" s="43"/>
      <c r="O164" s="43"/>
      <c r="P164" s="43"/>
      <c r="Q164" s="43"/>
      <c r="R164" s="43"/>
      <c r="S164" s="43"/>
    </row>
    <row r="165" spans="2:19" x14ac:dyDescent="0.2">
      <c r="B165" s="30" t="str">
        <f>'General System Parameters'!B19</f>
        <v>Phase Noise Level (dBc/Hz)</v>
      </c>
      <c r="C165" s="31">
        <f>'General System Parameters'!C19</f>
        <v>-125</v>
      </c>
      <c r="F165" s="43"/>
      <c r="G165" s="43"/>
      <c r="H165" s="43"/>
      <c r="I165" s="43"/>
      <c r="J165" s="43"/>
      <c r="K165" s="43"/>
      <c r="L165" s="43"/>
      <c r="M165" s="43"/>
      <c r="N165" s="43"/>
      <c r="O165" s="43"/>
      <c r="P165" s="43"/>
      <c r="Q165" s="43"/>
      <c r="R165" s="43"/>
      <c r="S165" s="43"/>
    </row>
    <row r="166" spans="2:19" x14ac:dyDescent="0.2">
      <c r="B166" s="30" t="str">
        <f>'General System Parameters'!B20</f>
        <v>Polarization Loss (dB)</v>
      </c>
      <c r="C166" s="31">
        <f>'General System Parameters'!C20</f>
        <v>0</v>
      </c>
      <c r="F166" s="43"/>
      <c r="G166" s="43"/>
      <c r="H166" s="43"/>
      <c r="I166" s="43"/>
      <c r="J166" s="43"/>
      <c r="K166" s="43"/>
      <c r="L166" s="43"/>
      <c r="M166" s="43"/>
      <c r="N166" s="43"/>
      <c r="O166" s="43"/>
      <c r="P166" s="43"/>
      <c r="Q166" s="43"/>
      <c r="R166" s="43"/>
      <c r="S166" s="43"/>
    </row>
    <row r="167" spans="2:19" x14ac:dyDescent="0.2">
      <c r="B167" s="34" t="str">
        <f>'General System Parameters'!B21</f>
        <v>λ (m)</v>
      </c>
      <c r="C167" s="35">
        <f>'General System Parameters'!C21</f>
        <v>8.5654988000000001E-2</v>
      </c>
      <c r="F167" s="43"/>
      <c r="G167" s="43"/>
      <c r="H167" s="43"/>
      <c r="I167" s="43"/>
      <c r="J167" s="43"/>
      <c r="K167" s="43"/>
      <c r="L167" s="43"/>
      <c r="M167" s="43"/>
      <c r="N167" s="43"/>
      <c r="O167" s="43"/>
      <c r="P167" s="43"/>
      <c r="Q167" s="43"/>
      <c r="R167" s="43"/>
      <c r="S167" s="43"/>
    </row>
    <row r="168" spans="2:19" x14ac:dyDescent="0.2">
      <c r="B168" s="34" t="str">
        <f>'General System Parameters'!B22</f>
        <v>Doppler factor (Hz/(m/sec))</v>
      </c>
      <c r="C168" s="35">
        <f>'General System Parameters'!C22</f>
        <v>23.349486663870643</v>
      </c>
      <c r="F168" s="43"/>
      <c r="G168" s="43"/>
      <c r="H168" s="43"/>
      <c r="I168" s="43"/>
      <c r="J168" s="43"/>
      <c r="K168" s="43"/>
      <c r="L168" s="43"/>
      <c r="M168" s="43"/>
      <c r="N168" s="43"/>
      <c r="O168" s="43"/>
      <c r="P168" s="43"/>
      <c r="Q168" s="43"/>
      <c r="R168" s="43"/>
      <c r="S168" s="43"/>
    </row>
    <row r="169" spans="2:19" x14ac:dyDescent="0.2">
      <c r="B169" s="36" t="str">
        <f>'General System Parameters'!B23</f>
        <v>ALC</v>
      </c>
      <c r="C169" s="31">
        <f>'General System Parameters'!C23</f>
        <v>0</v>
      </c>
      <c r="F169" s="43"/>
      <c r="G169" s="43"/>
      <c r="H169" s="43"/>
      <c r="I169" s="43"/>
      <c r="J169" s="43"/>
      <c r="K169" s="43"/>
      <c r="L169" s="43"/>
      <c r="M169" s="43"/>
      <c r="N169" s="43"/>
      <c r="O169" s="43"/>
      <c r="P169" s="43"/>
      <c r="Q169" s="43"/>
      <c r="R169" s="43"/>
      <c r="S169" s="43"/>
    </row>
    <row r="170" spans="2:19" x14ac:dyDescent="0.2">
      <c r="B170" s="36" t="str">
        <f>'General System Parameters'!B24</f>
        <v>Actual System Gain (dB) - 1st Rx</v>
      </c>
      <c r="C170" s="31">
        <f>'General System Parameters'!C24</f>
        <v>60</v>
      </c>
      <c r="F170" s="43"/>
      <c r="G170" s="43"/>
      <c r="H170" s="43"/>
      <c r="I170" s="43"/>
      <c r="J170" s="43"/>
      <c r="K170" s="43"/>
      <c r="L170" s="43"/>
      <c r="M170" s="43"/>
      <c r="N170" s="43"/>
      <c r="O170" s="43"/>
      <c r="P170" s="43"/>
      <c r="Q170" s="43"/>
      <c r="R170" s="43"/>
      <c r="S170" s="43"/>
    </row>
    <row r="171" spans="2:19" x14ac:dyDescent="0.2">
      <c r="B171" s="36" t="str">
        <f>'General System Parameters'!B25</f>
        <v>Actual System Gain (dB) - Ref Rx</v>
      </c>
      <c r="C171" s="31">
        <f>'General System Parameters'!C25</f>
        <v>54</v>
      </c>
      <c r="F171" s="43"/>
      <c r="G171" s="43"/>
      <c r="H171" s="43"/>
      <c r="I171" s="43"/>
      <c r="J171" s="43"/>
      <c r="K171" s="43"/>
      <c r="L171" s="43"/>
      <c r="M171" s="43"/>
      <c r="N171" s="43"/>
      <c r="O171" s="43"/>
      <c r="P171" s="43"/>
      <c r="Q171" s="43"/>
      <c r="R171" s="43"/>
      <c r="S171" s="43"/>
    </row>
    <row r="172" spans="2:19" x14ac:dyDescent="0.2">
      <c r="B172" s="34" t="str">
        <f>'General System Parameters'!B26</f>
        <v>Actual 1st Rx Calibration (dB)</v>
      </c>
      <c r="C172" s="35">
        <f>'General System Parameters'!C26</f>
        <v>4</v>
      </c>
      <c r="F172" s="43"/>
      <c r="G172" s="43"/>
      <c r="H172" s="43"/>
      <c r="I172" s="43"/>
      <c r="J172" s="43"/>
      <c r="K172" s="43"/>
      <c r="L172" s="43"/>
      <c r="M172" s="43"/>
      <c r="N172" s="43"/>
      <c r="O172" s="43"/>
      <c r="P172" s="43"/>
      <c r="Q172" s="43"/>
      <c r="R172" s="43"/>
      <c r="S172" s="43"/>
    </row>
    <row r="173" spans="2:19" x14ac:dyDescent="0.2">
      <c r="B173" s="32" t="str">
        <f>'General System Parameters'!B27</f>
        <v>KT (dBm/Hz)</v>
      </c>
      <c r="C173" s="33">
        <f>'General System Parameters'!C27</f>
        <v>-174</v>
      </c>
      <c r="F173" s="43"/>
      <c r="G173" s="43"/>
      <c r="H173" s="43"/>
      <c r="I173" s="43"/>
      <c r="J173" s="43"/>
      <c r="K173" s="43"/>
      <c r="L173" s="43"/>
      <c r="M173" s="43"/>
      <c r="N173" s="43"/>
      <c r="O173" s="43"/>
      <c r="P173" s="43"/>
      <c r="Q173" s="43"/>
      <c r="R173" s="43"/>
      <c r="S173" s="43"/>
    </row>
    <row r="174" spans="2:19" x14ac:dyDescent="0.2">
      <c r="B174" s="32" t="str">
        <f>'General System Parameters'!B28</f>
        <v>Sample Period (us)</v>
      </c>
      <c r="C174" s="33">
        <f>'General System Parameters'!C28</f>
        <v>1.2500000000000001E-2</v>
      </c>
      <c r="F174" s="43"/>
      <c r="G174" s="43"/>
      <c r="H174" s="43"/>
      <c r="I174" s="43"/>
      <c r="J174" s="43"/>
      <c r="K174" s="43"/>
      <c r="L174" s="43"/>
      <c r="M174" s="43"/>
      <c r="N174" s="43"/>
      <c r="O174" s="43"/>
      <c r="P174" s="43"/>
      <c r="Q174" s="43"/>
      <c r="R174" s="43"/>
      <c r="S174" s="43"/>
    </row>
    <row r="175" spans="2:19" x14ac:dyDescent="0.2">
      <c r="B175" s="37" t="str">
        <f>'General System Parameters'!B29</f>
        <v>ADC Bandwidth (MHz)</v>
      </c>
      <c r="C175" s="35">
        <f>'General System Parameters'!C29</f>
        <v>40</v>
      </c>
      <c r="F175" s="43"/>
      <c r="G175" s="43"/>
      <c r="H175" s="43"/>
      <c r="I175" s="43"/>
      <c r="J175" s="43"/>
      <c r="K175" s="43"/>
      <c r="L175" s="43"/>
      <c r="M175" s="43"/>
      <c r="N175" s="43"/>
      <c r="O175" s="43"/>
      <c r="P175" s="43"/>
      <c r="Q175" s="43"/>
      <c r="R175" s="43"/>
      <c r="S175" s="43"/>
    </row>
    <row r="176" spans="2:19" x14ac:dyDescent="0.2">
      <c r="B176" s="32" t="str">
        <f>'General System Parameters'!B30</f>
        <v>ADC Noise Level (dBm)</v>
      </c>
      <c r="C176" s="33">
        <f>'General System Parameters'!C30</f>
        <v>-65</v>
      </c>
      <c r="F176" s="43"/>
      <c r="G176" s="43"/>
      <c r="H176" s="43"/>
      <c r="I176" s="43"/>
      <c r="J176" s="43"/>
      <c r="K176" s="43"/>
      <c r="L176" s="43"/>
      <c r="M176" s="43"/>
      <c r="N176" s="43"/>
      <c r="O176" s="43"/>
      <c r="P176" s="43"/>
      <c r="Q176" s="43"/>
      <c r="R176" s="43"/>
      <c r="S176" s="43"/>
    </row>
    <row r="177" spans="2:19" x14ac:dyDescent="0.2">
      <c r="B177" s="32" t="str">
        <f>'General System Parameters'!B31</f>
        <v>Tapering Signal Gain Loss (dB) - 1st Rx</v>
      </c>
      <c r="C177" s="33">
        <f>'General System Parameters'!C31</f>
        <v>3.51</v>
      </c>
      <c r="F177" s="43"/>
      <c r="G177" s="43"/>
      <c r="H177" s="43"/>
      <c r="I177" s="43"/>
      <c r="J177" s="43"/>
      <c r="K177" s="43"/>
      <c r="L177" s="43"/>
      <c r="M177" s="43"/>
      <c r="N177" s="43"/>
      <c r="O177" s="43"/>
      <c r="P177" s="43"/>
      <c r="Q177" s="43"/>
      <c r="R177" s="43"/>
      <c r="S177" s="43"/>
    </row>
    <row r="178" spans="2:19" x14ac:dyDescent="0.2">
      <c r="B178" s="32" t="str">
        <f>'General System Parameters'!B32</f>
        <v>Tapering Noise Gain Loss (dB) - 1st Rx</v>
      </c>
      <c r="C178" s="33">
        <f>'General System Parameters'!C32</f>
        <v>3.1337000000000002</v>
      </c>
      <c r="F178" s="43"/>
      <c r="G178" s="43"/>
      <c r="H178" s="43"/>
      <c r="I178" s="43"/>
      <c r="J178" s="43"/>
      <c r="K178" s="43"/>
      <c r="L178" s="43"/>
      <c r="M178" s="43"/>
      <c r="N178" s="43"/>
      <c r="O178" s="43"/>
      <c r="P178" s="43"/>
      <c r="Q178" s="43"/>
      <c r="R178" s="43"/>
      <c r="S178" s="43"/>
    </row>
    <row r="179" spans="2:19" x14ac:dyDescent="0.2">
      <c r="B179" s="32" t="str">
        <f>'General System Parameters'!B33</f>
        <v>Tapering Signal Gain Loss (dB) - Ref (Guard) Rx</v>
      </c>
      <c r="C179" s="33">
        <f>'General System Parameters'!C33</f>
        <v>0</v>
      </c>
      <c r="F179" s="43"/>
      <c r="G179" s="43"/>
      <c r="H179" s="43"/>
      <c r="I179" s="43"/>
      <c r="J179" s="43"/>
      <c r="K179" s="43"/>
      <c r="L179" s="43"/>
      <c r="M179" s="43"/>
      <c r="N179" s="43"/>
      <c r="O179" s="43"/>
      <c r="P179" s="43"/>
      <c r="Q179" s="43"/>
      <c r="R179" s="43"/>
      <c r="S179" s="43"/>
    </row>
    <row r="180" spans="2:19" x14ac:dyDescent="0.2">
      <c r="B180" s="32" t="str">
        <f>'General System Parameters'!B34</f>
        <v>Tapering Noise Gain Loss (dB) - Ref (Guard) Rx</v>
      </c>
      <c r="C180" s="33">
        <f>'General System Parameters'!C34</f>
        <v>0</v>
      </c>
      <c r="F180" s="43"/>
      <c r="G180" s="43"/>
      <c r="H180" s="43"/>
      <c r="I180" s="43"/>
      <c r="J180" s="43"/>
      <c r="K180" s="43"/>
      <c r="L180" s="43"/>
      <c r="M180" s="43"/>
      <c r="N180" s="43"/>
      <c r="O180" s="43"/>
      <c r="P180" s="43"/>
      <c r="Q180" s="43"/>
      <c r="R180" s="43"/>
      <c r="S180" s="43"/>
    </row>
    <row r="181" spans="2:19" x14ac:dyDescent="0.2">
      <c r="B181" s="37" t="str">
        <f>'General System Parameters'!B35</f>
        <v>Tapering Rx Loss (dB)</v>
      </c>
      <c r="C181" s="35">
        <f>'General System Parameters'!C35</f>
        <v>0.37629999999999963</v>
      </c>
      <c r="F181" s="43"/>
      <c r="G181" s="43"/>
      <c r="H181" s="43"/>
      <c r="I181" s="43"/>
      <c r="J181" s="43"/>
      <c r="K181" s="43"/>
      <c r="L181" s="43"/>
      <c r="M181" s="43"/>
      <c r="N181" s="43"/>
      <c r="O181" s="43"/>
      <c r="P181" s="43"/>
      <c r="Q181" s="43"/>
      <c r="R181" s="43"/>
      <c r="S181" s="43"/>
    </row>
    <row r="182" spans="2:19" x14ac:dyDescent="0.2">
      <c r="B182" s="30" t="str">
        <f>'General System Parameters'!B36</f>
        <v>Number of T/R modules</v>
      </c>
      <c r="C182" s="31">
        <f>'General System Parameters'!C36</f>
        <v>41</v>
      </c>
      <c r="F182" s="43"/>
      <c r="G182" s="43"/>
      <c r="H182" s="43"/>
      <c r="I182" s="43"/>
      <c r="J182" s="43"/>
      <c r="K182" s="43"/>
      <c r="L182" s="43"/>
      <c r="M182" s="43"/>
      <c r="N182" s="43"/>
      <c r="O182" s="43"/>
      <c r="P182" s="43"/>
      <c r="Q182" s="43"/>
      <c r="R182" s="43"/>
      <c r="S182" s="43"/>
    </row>
    <row r="183" spans="2:19" x14ac:dyDescent="0.2">
      <c r="B183" s="30" t="str">
        <f>'General System Parameters'!B37</f>
        <v>Power per T/R module</v>
      </c>
      <c r="C183" s="31">
        <f>'General System Parameters'!C37</f>
        <v>10</v>
      </c>
      <c r="F183" s="43"/>
      <c r="G183" s="43"/>
      <c r="H183" s="43"/>
      <c r="I183" s="43"/>
      <c r="J183" s="43"/>
      <c r="K183" s="43"/>
      <c r="L183" s="43"/>
      <c r="M183" s="43"/>
      <c r="N183" s="43"/>
      <c r="O183" s="43"/>
      <c r="P183" s="43"/>
      <c r="Q183" s="43"/>
      <c r="R183" s="43"/>
      <c r="S183" s="43"/>
    </row>
    <row r="184" spans="2:19" x14ac:dyDescent="0.2">
      <c r="B184" s="30" t="str">
        <f>'General System Parameters'!B38</f>
        <v>Gain per T/R module [dB]</v>
      </c>
      <c r="C184" s="31">
        <f>'General System Parameters'!C38</f>
        <v>5</v>
      </c>
      <c r="F184" s="43"/>
      <c r="G184" s="43"/>
      <c r="H184" s="43"/>
      <c r="I184" s="43"/>
      <c r="J184" s="43"/>
      <c r="K184" s="43"/>
      <c r="L184" s="43"/>
      <c r="M184" s="43"/>
      <c r="N184" s="43"/>
      <c r="O184" s="43"/>
      <c r="P184" s="43"/>
      <c r="Q184" s="43"/>
      <c r="R184" s="43"/>
      <c r="S184" s="43"/>
    </row>
    <row r="185" spans="2:19" x14ac:dyDescent="0.2">
      <c r="B185" s="37" t="str">
        <f>'General System Parameters'!B39</f>
        <v>Available Power (dBm)</v>
      </c>
      <c r="C185" s="35">
        <f>'General System Parameters'!C39</f>
        <v>56.127838567197358</v>
      </c>
      <c r="F185" s="43"/>
      <c r="G185" s="43"/>
      <c r="H185" s="43"/>
      <c r="I185" s="43"/>
      <c r="J185" s="43"/>
      <c r="K185" s="43"/>
      <c r="L185" s="43"/>
      <c r="M185" s="43"/>
      <c r="N185" s="43"/>
      <c r="O185" s="43"/>
      <c r="P185" s="43"/>
      <c r="Q185" s="43"/>
      <c r="R185" s="43"/>
      <c r="S185" s="43"/>
    </row>
    <row r="186" spans="2:19" x14ac:dyDescent="0.2">
      <c r="B186" s="37" t="str">
        <f>'General System Parameters'!B40</f>
        <v>Gt,Gr</v>
      </c>
      <c r="C186" s="35">
        <f>'General System Parameters'!C40</f>
        <v>21.127838567197355</v>
      </c>
      <c r="F186" s="43"/>
      <c r="G186" s="43"/>
      <c r="H186" s="43"/>
      <c r="I186" s="43"/>
      <c r="J186" s="43"/>
      <c r="K186" s="43"/>
      <c r="L186" s="43"/>
      <c r="M186" s="43"/>
      <c r="N186" s="43"/>
      <c r="O186" s="43"/>
      <c r="P186" s="43"/>
      <c r="Q186" s="43"/>
      <c r="R186" s="43"/>
      <c r="S186" s="43"/>
    </row>
    <row r="187" spans="2:19" x14ac:dyDescent="0.2">
      <c r="B187" s="37" t="str">
        <f>'General System Parameters'!B41</f>
        <v>Gr - 1st Rx</v>
      </c>
      <c r="C187" s="35">
        <f>'General System Parameters'!C41</f>
        <v>15</v>
      </c>
      <c r="F187" s="43"/>
      <c r="G187" s="43"/>
      <c r="H187" s="43"/>
      <c r="I187" s="43"/>
      <c r="J187" s="43"/>
      <c r="K187" s="43"/>
      <c r="L187" s="43"/>
      <c r="M187" s="43"/>
      <c r="N187" s="43"/>
      <c r="O187" s="43"/>
      <c r="P187" s="43"/>
      <c r="Q187" s="43"/>
      <c r="R187" s="43"/>
      <c r="S187" s="43"/>
    </row>
    <row r="188" spans="2:19" x14ac:dyDescent="0.2">
      <c r="B188" s="37" t="str">
        <f>'General System Parameters'!B42</f>
        <v>Gr - Ref (Guard) Rx</v>
      </c>
      <c r="C188" s="35">
        <f>'General System Parameters'!C42</f>
        <v>5</v>
      </c>
      <c r="F188" s="43"/>
      <c r="G188" s="43"/>
      <c r="H188" s="43"/>
      <c r="I188" s="43"/>
      <c r="J188" s="43"/>
      <c r="K188" s="43"/>
      <c r="L188" s="43"/>
      <c r="M188" s="43"/>
      <c r="N188" s="43"/>
      <c r="O188" s="43"/>
      <c r="P188" s="43"/>
      <c r="Q188" s="43"/>
      <c r="R188" s="43"/>
      <c r="S188" s="43"/>
    </row>
    <row r="189" spans="2:19" x14ac:dyDescent="0.2">
      <c r="B189" s="37" t="str">
        <f>'General System Parameters'!B43</f>
        <v>λ2 (dB/m2)</v>
      </c>
      <c r="C189" s="35">
        <f>'General System Parameters'!C43</f>
        <v>-21.344946828446961</v>
      </c>
      <c r="F189" s="43"/>
      <c r="G189" s="43"/>
      <c r="H189" s="43"/>
      <c r="I189" s="43"/>
      <c r="J189" s="43"/>
      <c r="K189" s="43"/>
      <c r="L189" s="43"/>
      <c r="M189" s="43"/>
      <c r="N189" s="43"/>
      <c r="O189" s="43"/>
      <c r="P189" s="43"/>
      <c r="Q189" s="43"/>
      <c r="R189" s="43"/>
      <c r="S189" s="43"/>
    </row>
    <row r="190" spans="2:19" x14ac:dyDescent="0.2">
      <c r="B190" s="34" t="str">
        <f>'General System Parameters'!B44</f>
        <v>(4p)^3 (dB)</v>
      </c>
      <c r="C190" s="35">
        <f>'General System Parameters'!C44</f>
        <v>32.976295920662885</v>
      </c>
      <c r="F190" s="43"/>
      <c r="G190" s="43"/>
      <c r="H190" s="43"/>
      <c r="I190" s="43"/>
      <c r="J190" s="43"/>
      <c r="K190" s="43"/>
      <c r="L190" s="43"/>
      <c r="M190" s="43"/>
      <c r="N190" s="43"/>
      <c r="O190" s="43"/>
      <c r="P190" s="43"/>
      <c r="Q190" s="43"/>
      <c r="R190" s="43"/>
      <c r="S190" s="43"/>
    </row>
    <row r="191" spans="2:19" x14ac:dyDescent="0.2">
      <c r="B191" s="34" t="str">
        <f>'General System Parameters'!B45</f>
        <v>Miscellaneous Losses (dB)</v>
      </c>
      <c r="C191" s="35">
        <f>'General System Parameters'!C45</f>
        <v>0</v>
      </c>
      <c r="F191" s="43"/>
      <c r="G191" s="43"/>
      <c r="H191" s="43"/>
      <c r="I191" s="43"/>
      <c r="J191" s="43"/>
      <c r="K191" s="43"/>
      <c r="L191" s="43"/>
      <c r="M191" s="43"/>
      <c r="N191" s="43"/>
      <c r="O191" s="43"/>
      <c r="P191" s="43"/>
      <c r="Q191" s="43"/>
      <c r="R191" s="43"/>
      <c r="S191" s="43"/>
    </row>
    <row r="192" spans="2:19" x14ac:dyDescent="0.2">
      <c r="B192" s="36" t="str">
        <f>'General System Parameters'!B46</f>
        <v>FFT Window: BH</v>
      </c>
      <c r="C192" s="31" t="str">
        <f>'General System Parameters'!C46</f>
        <v>BH</v>
      </c>
      <c r="F192" s="43"/>
      <c r="G192" s="43"/>
      <c r="H192" s="43"/>
      <c r="I192" s="43"/>
      <c r="J192" s="43"/>
      <c r="K192" s="43"/>
      <c r="L192" s="43"/>
      <c r="M192" s="43"/>
      <c r="N192" s="43"/>
      <c r="O192" s="43"/>
      <c r="P192" s="43"/>
      <c r="Q192" s="43"/>
      <c r="R192" s="43"/>
      <c r="S192" s="43"/>
    </row>
    <row r="193" spans="2:19" x14ac:dyDescent="0.2">
      <c r="B193" s="34" t="str">
        <f>'General System Parameters'!B47</f>
        <v>Signal Gain Loss (dB)</v>
      </c>
      <c r="C193" s="35">
        <f>'General System Parameters'!C47</f>
        <v>8.9499999999999993</v>
      </c>
      <c r="F193" s="43"/>
      <c r="G193" s="43"/>
      <c r="H193" s="43"/>
      <c r="I193" s="43"/>
      <c r="J193" s="43"/>
      <c r="K193" s="43"/>
      <c r="L193" s="43"/>
      <c r="M193" s="43"/>
      <c r="N193" s="43"/>
      <c r="O193" s="43"/>
      <c r="P193" s="43"/>
      <c r="Q193" s="43"/>
      <c r="R193" s="43"/>
      <c r="S193" s="43"/>
    </row>
    <row r="194" spans="2:19" x14ac:dyDescent="0.2">
      <c r="B194" s="34" t="str">
        <f>'General System Parameters'!B48</f>
        <v>Noise Gain Loss (dB)</v>
      </c>
      <c r="C194" s="35">
        <f>'General System Parameters'!C48</f>
        <v>5.9</v>
      </c>
      <c r="F194" s="43"/>
      <c r="G194" s="43"/>
      <c r="H194" s="43"/>
      <c r="I194" s="43"/>
      <c r="J194" s="43"/>
      <c r="K194" s="43"/>
      <c r="L194" s="43"/>
      <c r="M194" s="43"/>
      <c r="N194" s="43"/>
      <c r="O194" s="43"/>
      <c r="P194" s="43"/>
      <c r="Q194" s="43"/>
      <c r="R194" s="43"/>
      <c r="S194" s="43"/>
    </row>
    <row r="195" spans="2:19" x14ac:dyDescent="0.2">
      <c r="B195" s="34" t="str">
        <f>'General System Parameters'!B49</f>
        <v>Normalized ENBW (dB)</v>
      </c>
      <c r="C195" s="35">
        <f>'General System Parameters'!C49</f>
        <v>3.0499999999999989</v>
      </c>
      <c r="F195" s="43"/>
      <c r="G195" s="43"/>
      <c r="H195" s="43"/>
      <c r="I195" s="43"/>
      <c r="J195" s="43"/>
      <c r="K195" s="43"/>
      <c r="L195" s="43"/>
      <c r="M195" s="43"/>
      <c r="N195" s="43"/>
      <c r="O195" s="43"/>
      <c r="P195" s="43"/>
      <c r="Q195" s="43"/>
      <c r="R195" s="43"/>
      <c r="S195" s="43"/>
    </row>
    <row r="196" spans="2:19" x14ac:dyDescent="0.2">
      <c r="B196" s="34" t="str">
        <f>'General System Parameters'!B50</f>
        <v>Window 3dB BW (bins)</v>
      </c>
      <c r="C196" s="35">
        <f>'General System Parameters'!C50</f>
        <v>1.9</v>
      </c>
      <c r="F196" s="43"/>
      <c r="G196" s="43"/>
      <c r="H196" s="43"/>
      <c r="I196" s="43"/>
      <c r="J196" s="43"/>
      <c r="K196" s="43"/>
      <c r="L196" s="43"/>
      <c r="M196" s="43"/>
      <c r="N196" s="43"/>
      <c r="O196" s="43"/>
      <c r="P196" s="43"/>
      <c r="Q196" s="43"/>
      <c r="R196" s="43"/>
      <c r="S196" s="43"/>
    </row>
    <row r="197" spans="2:19" x14ac:dyDescent="0.2">
      <c r="B197" s="34" t="str">
        <f>'General System Parameters'!B51</f>
        <v>Window 6dB BW (bins)</v>
      </c>
      <c r="C197" s="35">
        <f>'General System Parameters'!C51</f>
        <v>2.72</v>
      </c>
      <c r="F197" s="43"/>
      <c r="G197" s="43"/>
      <c r="H197" s="43"/>
      <c r="I197" s="43"/>
      <c r="J197" s="43"/>
      <c r="K197" s="43"/>
      <c r="L197" s="43"/>
      <c r="M197" s="43"/>
      <c r="N197" s="43"/>
      <c r="O197" s="43"/>
      <c r="P197" s="43"/>
      <c r="Q197" s="43"/>
      <c r="R197" s="43"/>
      <c r="S197" s="43"/>
    </row>
    <row r="198" spans="2:19" x14ac:dyDescent="0.2">
      <c r="B198" s="34" t="str">
        <f>'General System Parameters'!B52</f>
        <v>Scallop Loss (dB)</v>
      </c>
      <c r="C198" s="35">
        <f>'General System Parameters'!C52</f>
        <v>0.41278500000000001</v>
      </c>
      <c r="F198" s="43"/>
      <c r="G198" s="43"/>
      <c r="H198" s="43"/>
      <c r="I198" s="43"/>
      <c r="J198" s="43"/>
      <c r="K198" s="43"/>
      <c r="L198" s="43"/>
      <c r="M198" s="43"/>
      <c r="N198" s="43"/>
      <c r="O198" s="43"/>
      <c r="P198" s="43"/>
      <c r="Q198" s="43"/>
      <c r="R198" s="43"/>
      <c r="S198" s="43"/>
    </row>
    <row r="199" spans="2:19" x14ac:dyDescent="0.2">
      <c r="B199" s="32" t="str">
        <f>'General System Parameters'!B53</f>
        <v>Rectangular 6dB BW (bins)</v>
      </c>
      <c r="C199" s="33">
        <f>'General System Parameters'!C53</f>
        <v>1.21</v>
      </c>
      <c r="F199" s="43"/>
      <c r="G199" s="43"/>
      <c r="H199" s="43"/>
      <c r="I199" s="43"/>
      <c r="J199" s="43"/>
      <c r="K199" s="43"/>
      <c r="L199" s="43"/>
      <c r="M199" s="43"/>
      <c r="N199" s="43"/>
      <c r="O199" s="43"/>
      <c r="P199" s="43"/>
      <c r="Q199" s="43"/>
      <c r="R199" s="43"/>
      <c r="S199" s="43"/>
    </row>
    <row r="200" spans="2:19" x14ac:dyDescent="0.2">
      <c r="B200" s="34" t="str">
        <f>'General System Parameters'!B54</f>
        <v>Window Peak Spreading (bins)</v>
      </c>
      <c r="C200" s="35">
        <f>'General System Parameters'!C54</f>
        <v>9</v>
      </c>
      <c r="F200" s="43"/>
      <c r="G200" s="43"/>
      <c r="H200" s="43"/>
      <c r="I200" s="43"/>
      <c r="J200" s="43"/>
      <c r="K200" s="43"/>
      <c r="L200" s="43"/>
      <c r="M200" s="43"/>
      <c r="N200" s="43"/>
      <c r="O200" s="43"/>
      <c r="P200" s="43"/>
      <c r="Q200" s="43"/>
      <c r="R200" s="43"/>
      <c r="S200" s="43"/>
    </row>
    <row r="201" spans="2:19" x14ac:dyDescent="0.2">
      <c r="B201" s="36" t="str">
        <f>'General System Parameters'!B55</f>
        <v>#samples for noise estimation</v>
      </c>
      <c r="C201" s="31">
        <f>'General System Parameters'!C55</f>
        <v>12</v>
      </c>
      <c r="F201" s="43"/>
      <c r="G201" s="43"/>
      <c r="H201" s="43"/>
      <c r="I201" s="43"/>
      <c r="J201" s="43"/>
      <c r="K201" s="43"/>
      <c r="L201" s="43"/>
      <c r="M201" s="43"/>
      <c r="N201" s="43"/>
      <c r="O201" s="43"/>
      <c r="P201" s="43"/>
      <c r="Q201" s="43"/>
      <c r="R201" s="43"/>
      <c r="S201" s="43"/>
    </row>
    <row r="202" spans="2:19" x14ac:dyDescent="0.2">
      <c r="B202" s="34" t="str">
        <f>'General System Parameters'!B56</f>
        <v>Straddling Loss (dB) - w/o OL</v>
      </c>
      <c r="C202" s="35">
        <f>'General System Parameters'!C56</f>
        <v>3</v>
      </c>
    </row>
    <row r="203" spans="2:19" x14ac:dyDescent="0.2">
      <c r="B203" s="34" t="str">
        <f>'General System Parameters'!B57</f>
        <v>Straddling Loss (dB) - with 50% OL</v>
      </c>
      <c r="C203" s="35">
        <f>'General System Parameters'!C57</f>
        <v>1.25</v>
      </c>
    </row>
    <row r="204" spans="2:19" x14ac:dyDescent="0.2">
      <c r="B204" s="30" t="str">
        <f>'General System Parameters'!B58</f>
        <v>Freq Desynchronization factor (ppb)</v>
      </c>
      <c r="C204" s="31">
        <f>'General System Parameters'!C58</f>
        <v>5</v>
      </c>
    </row>
    <row r="205" spans="2:19" x14ac:dyDescent="0.2">
      <c r="B205" s="34" t="str">
        <f>'General System Parameters'!B59</f>
        <v>Freq Desynchronization factor (Hz)</v>
      </c>
      <c r="C205" s="35">
        <f>'General System Parameters'!C59</f>
        <v>17.5</v>
      </c>
    </row>
    <row r="206" spans="2:19" x14ac:dyDescent="0.2">
      <c r="B206" s="34" t="str">
        <f>'General System Parameters'!B60</f>
        <v>Freq Desynchronization factor (m/s)</v>
      </c>
      <c r="C206" s="35">
        <f>'General System Parameters'!C60</f>
        <v>0.74948114500000007</v>
      </c>
    </row>
    <row r="207" spans="2:19" x14ac:dyDescent="0.2">
      <c r="B207" s="30" t="str">
        <f>'General System Parameters'!B61</f>
        <v>Time Desynchronization factor (ppm)</v>
      </c>
      <c r="C207" s="31">
        <f>'General System Parameters'!C61</f>
        <v>0.2</v>
      </c>
    </row>
    <row r="208" spans="2:19" x14ac:dyDescent="0.2">
      <c r="B208" s="30" t="str">
        <f>'General System Parameters'!B62</f>
        <v>Synchronization window per seq (μs)</v>
      </c>
      <c r="C208" s="31">
        <f>'General System Parameters'!C62</f>
        <v>0.1</v>
      </c>
    </row>
    <row r="209" spans="2:3" x14ac:dyDescent="0.2">
      <c r="B209" s="117" t="str">
        <f>'General System Parameters'!B63</f>
        <v>#RG in Optimized Mode (one side)</v>
      </c>
      <c r="C209" s="118">
        <f>'General System Parameters'!C63</f>
        <v>7</v>
      </c>
    </row>
    <row r="210" spans="2:3" x14ac:dyDescent="0.2">
      <c r="B210" s="30" t="str">
        <f>'General System Parameters'!B64</f>
        <v>Total #RG in Optimized Mode</v>
      </c>
      <c r="C210" s="31">
        <f>'General System Parameters'!C64</f>
        <v>15</v>
      </c>
    </row>
  </sheetData>
  <mergeCells count="4">
    <mergeCell ref="B150:D150"/>
    <mergeCell ref="C1:D1"/>
    <mergeCell ref="E1:T1"/>
    <mergeCell ref="B145:D145"/>
  </mergeCells>
  <conditionalFormatting sqref="C61:D61">
    <cfRule type="cellIs" dxfId="25" priority="5" operator="greaterThan">
      <formula>3</formula>
    </cfRule>
  </conditionalFormatting>
  <conditionalFormatting sqref="C49">
    <cfRule type="cellIs" dxfId="24" priority="3" operator="greaterThan">
      <formula>"2&amp;&amp;$C$57&gt;$C$58"</formula>
    </cfRule>
  </conditionalFormatting>
  <conditionalFormatting sqref="C59">
    <cfRule type="expression" dxfId="23" priority="2">
      <formula>AND(C$59 &gt; C$50, C$49&gt;1)</formula>
    </cfRule>
  </conditionalFormatting>
  <conditionalFormatting sqref="D59">
    <cfRule type="expression" dxfId="22" priority="1">
      <formula>AND(D$59 &gt; D$50, D$49&gt;1)</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Z210"/>
  <sheetViews>
    <sheetView workbookViewId="0">
      <selection sqref="A1:XFD1048576"/>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36" t="str">
        <f>'[1]Parameters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'[1]Parameters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'[1]Parameters List'!B4</f>
        <v>Antenna Number (1 or 2)</v>
      </c>
      <c r="C4" s="49"/>
      <c r="D4" s="49"/>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'[1]Parameters List'!B5</f>
        <v>Steer Az (clockwise - positive)</v>
      </c>
      <c r="C5" s="49"/>
      <c r="D5" s="49"/>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'[1]Parameters List'!B6</f>
        <v>Steer El (up - positive)</v>
      </c>
      <c r="C6" s="49"/>
      <c r="D6" s="49"/>
      <c r="E6" s="50"/>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'[1]Parameters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'[1]Parameters List'!B9</f>
        <v>Antenna Number (1 or 2)</v>
      </c>
      <c r="C9" s="49"/>
      <c r="D9" s="49"/>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'[1]Parameters List'!B10</f>
        <v>Steer Az (clockwise - positive)</v>
      </c>
      <c r="C10" s="49"/>
      <c r="D10" s="49"/>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'[1]Parameters List'!B11</f>
        <v>Steer El (up - positive)</v>
      </c>
      <c r="C11" s="49"/>
      <c r="D11" s="49"/>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'[1]Parameters List'!B13</f>
        <v>Processing Channel Number (1 or 2)</v>
      </c>
      <c r="C13" s="49"/>
      <c r="D13" s="49"/>
      <c r="E13" s="33">
        <v>1</v>
      </c>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'[1]Parameters List'!B14</f>
        <v>Beam type (relative to processing channel)</v>
      </c>
      <c r="C14" s="49"/>
      <c r="D14" s="49"/>
      <c r="E14" s="33">
        <v>1</v>
      </c>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'[1]Parameters List'!B15</f>
        <v>Stagger number (1 or 2)</v>
      </c>
      <c r="C15" s="58"/>
      <c r="D15" s="58"/>
      <c r="E15" s="33">
        <v>1</v>
      </c>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'[1]Parameters List'!B16</f>
        <v>Receiving Patch Group (1 or 2)</v>
      </c>
      <c r="C16" s="58"/>
      <c r="D16" s="58"/>
      <c r="E16" s="33">
        <v>1</v>
      </c>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'[1]Parameters List'!B17</f>
        <v>Tracking (0 or 1)</v>
      </c>
      <c r="C17" s="58"/>
      <c r="D17" s="58"/>
      <c r="E17" s="33">
        <v>1</v>
      </c>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'[1]Parameters List'!B18</f>
        <v>Stagger PRI Sequence (Chip Units)</v>
      </c>
      <c r="C18" s="58"/>
      <c r="D18" s="58"/>
      <c r="E18" s="123">
        <f t="shared" ref="E18:AJ18" si="0">IF(E$13=1, (E$14-1)*$C$31,IF(E$13=2,((E$14-1)*$D$31),""))</f>
        <v>0</v>
      </c>
      <c r="F18" s="123" t="str">
        <f t="shared" si="0"/>
        <v/>
      </c>
      <c r="G18" s="123" t="str">
        <f t="shared" si="0"/>
        <v/>
      </c>
      <c r="H18" s="123" t="str">
        <f t="shared" si="0"/>
        <v/>
      </c>
      <c r="I18" s="123" t="str">
        <f t="shared" si="0"/>
        <v/>
      </c>
      <c r="J18" s="123" t="str">
        <f t="shared" si="0"/>
        <v/>
      </c>
      <c r="K18" s="123" t="str">
        <f t="shared" si="0"/>
        <v/>
      </c>
      <c r="L18" s="123" t="str">
        <f t="shared" si="0"/>
        <v/>
      </c>
      <c r="M18" s="123" t="str">
        <f t="shared" si="0"/>
        <v/>
      </c>
      <c r="N18" s="123" t="str">
        <f t="shared" si="0"/>
        <v/>
      </c>
      <c r="O18" s="123" t="str">
        <f t="shared" si="0"/>
        <v/>
      </c>
      <c r="P18" s="123" t="str">
        <f t="shared" si="0"/>
        <v/>
      </c>
      <c r="Q18" s="123" t="str">
        <f t="shared" si="0"/>
        <v/>
      </c>
      <c r="R18" s="123" t="str">
        <f t="shared" si="0"/>
        <v/>
      </c>
      <c r="S18" s="123" t="str">
        <f t="shared" si="0"/>
        <v/>
      </c>
      <c r="T18" s="123" t="str">
        <f t="shared" si="0"/>
        <v/>
      </c>
      <c r="U18" s="123" t="str">
        <f t="shared" si="0"/>
        <v/>
      </c>
      <c r="V18" s="123" t="str">
        <f t="shared" si="0"/>
        <v/>
      </c>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CONCATENATE('[1]XML File Parameters'!D2," XMLver",'[1]XML File Parameters'!D3,".",'[1]XML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'[1]Parameters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'[1]Parameters List'!B21</f>
        <v>Apply RG Optimization</v>
      </c>
      <c r="C21" s="64">
        <v>1</v>
      </c>
      <c r="D21" s="64">
        <v>0</v>
      </c>
      <c r="F21" s="43"/>
      <c r="G21" s="43"/>
      <c r="H21" s="43"/>
      <c r="I21" s="43"/>
      <c r="J21" s="43"/>
      <c r="K21" s="43"/>
      <c r="L21" s="43"/>
      <c r="M21" s="43"/>
      <c r="N21" s="43"/>
      <c r="O21" s="43"/>
      <c r="P21" s="43"/>
      <c r="Q21" s="43"/>
      <c r="R21" s="43"/>
      <c r="S21" s="43"/>
    </row>
    <row r="22" spans="1:78" x14ac:dyDescent="0.2">
      <c r="A22" s="91" t="s">
        <v>78</v>
      </c>
      <c r="B22" s="104" t="str">
        <f>'[1]Parameters List'!B22</f>
        <v>Sequential Repetition</v>
      </c>
      <c r="C22" s="64">
        <v>1</v>
      </c>
      <c r="D22" s="64">
        <v>2</v>
      </c>
      <c r="F22" s="43"/>
      <c r="G22" s="43"/>
      <c r="H22" s="43"/>
      <c r="I22" s="43"/>
      <c r="J22" s="43"/>
      <c r="K22" s="43"/>
      <c r="L22" s="43"/>
      <c r="M22" s="43"/>
      <c r="N22" s="43"/>
      <c r="O22" s="43"/>
      <c r="P22" s="43"/>
      <c r="Q22" s="43"/>
      <c r="R22" s="43"/>
      <c r="S22" s="43"/>
    </row>
    <row r="23" spans="1:78" x14ac:dyDescent="0.2">
      <c r="A23" s="91" t="s">
        <v>78</v>
      </c>
      <c r="B23" s="104" t="str">
        <f>'[1]Parameters List'!B23</f>
        <v>Max Dets to process</v>
      </c>
      <c r="C23" s="64">
        <v>256</v>
      </c>
      <c r="D23" s="64">
        <v>40</v>
      </c>
      <c r="E23" s="65"/>
      <c r="F23" s="43"/>
      <c r="G23" s="43"/>
      <c r="H23" s="43"/>
      <c r="I23" s="43"/>
      <c r="J23" s="43"/>
      <c r="K23" s="43"/>
      <c r="L23" s="43"/>
      <c r="M23" s="43"/>
      <c r="N23" s="43"/>
      <c r="O23" s="43"/>
      <c r="P23" s="43"/>
      <c r="Q23" s="43"/>
      <c r="R23" s="43"/>
      <c r="S23" s="43"/>
    </row>
    <row r="24" spans="1:78" x14ac:dyDescent="0.2">
      <c r="A24" s="91"/>
      <c r="B24" s="95" t="str">
        <f>'[1]Parameters List'!B24</f>
        <v>Number of Steers</v>
      </c>
      <c r="C24" s="33">
        <f>COUNTIF(E$4:BP$4,"&gt;0")</f>
        <v>0</v>
      </c>
      <c r="D24" s="33">
        <f>COUNTIF(E$9:BP$9,"&gt;0")</f>
        <v>0</v>
      </c>
      <c r="E24" s="65"/>
      <c r="F24" s="43"/>
      <c r="G24" s="43"/>
      <c r="H24" s="43"/>
      <c r="I24" s="43"/>
      <c r="J24" s="43"/>
      <c r="K24" s="43"/>
      <c r="L24" s="43"/>
      <c r="M24" s="43"/>
      <c r="N24" s="43"/>
      <c r="O24" s="43"/>
      <c r="P24" s="43"/>
      <c r="Q24" s="43"/>
      <c r="R24" s="43"/>
      <c r="S24" s="43"/>
    </row>
    <row r="25" spans="1:78" x14ac:dyDescent="0.2">
      <c r="A25" s="91"/>
      <c r="B25" s="95" t="str">
        <f>'[1]Parameters List'!B25</f>
        <v>Number of Beam Types</v>
      </c>
      <c r="C25" s="33">
        <f>COUNTIFS($E$13:$AJ$13,"=1",$E$15:$AJ$15,"=1")</f>
        <v>1</v>
      </c>
      <c r="D25" s="33">
        <f>COUNTIFS($E$13:$AJ$13,"=2",$E$15:$AJ$15,"=1")</f>
        <v>0</v>
      </c>
      <c r="E25" s="65"/>
      <c r="F25" s="43"/>
      <c r="G25" s="43"/>
      <c r="H25" s="43"/>
      <c r="I25" s="43"/>
      <c r="J25" s="43"/>
      <c r="K25" s="43"/>
      <c r="L25" s="43"/>
      <c r="M25" s="43"/>
      <c r="N25" s="43"/>
      <c r="O25" s="43"/>
      <c r="P25" s="43"/>
      <c r="Q25" s="43"/>
      <c r="R25" s="43"/>
      <c r="S25" s="43"/>
    </row>
    <row r="26" spans="1:78" x14ac:dyDescent="0.2">
      <c r="A26" s="91"/>
      <c r="B26" s="95" t="str">
        <f>'[1]Parameters List'!B26</f>
        <v>Number of Beams</v>
      </c>
      <c r="C26" s="33">
        <f>COUNTIF($E$13:$AJ$13,"=1")</f>
        <v>1</v>
      </c>
      <c r="D26" s="33">
        <f>COUNTIF($E$13:$AJ$13,"=2")</f>
        <v>0</v>
      </c>
      <c r="E26" s="65"/>
      <c r="F26" s="43"/>
      <c r="G26" s="43"/>
      <c r="H26" s="43"/>
      <c r="I26" s="43"/>
      <c r="J26" s="43"/>
      <c r="K26" s="43"/>
      <c r="L26" s="43"/>
      <c r="M26" s="43"/>
      <c r="N26" s="43"/>
      <c r="O26" s="43"/>
      <c r="P26" s="43"/>
      <c r="Q26" s="43"/>
      <c r="R26" s="43"/>
      <c r="S26" s="43"/>
    </row>
    <row r="27" spans="1:78" x14ac:dyDescent="0.2">
      <c r="A27" s="91"/>
      <c r="B27" s="95" t="str">
        <f>'[1]Parameters List'!B27</f>
        <v>Number of Beams at Antenna1</v>
      </c>
      <c r="C27" s="33">
        <f>IF(COUNTIF($E$4:$BP$4,"=1")&gt;=C$25,C$26,COUNTIF($E$4:$BP$4,"=1")*C$26/C$25)</f>
        <v>0</v>
      </c>
      <c r="D27" s="33">
        <f>IF(COUNTIF($E$9:$BP$9,"=1")&gt;=D$25,D$26,COUNTIF($E$9:$BP$9,"=1")*D$26/D$25)</f>
        <v>0</v>
      </c>
      <c r="E27" s="65"/>
      <c r="F27" s="43"/>
      <c r="G27" s="43"/>
      <c r="H27" s="43"/>
      <c r="I27" s="43"/>
      <c r="J27" s="43"/>
      <c r="K27" s="43"/>
      <c r="L27" s="43"/>
      <c r="M27" s="43"/>
      <c r="N27" s="43"/>
      <c r="O27" s="43"/>
      <c r="P27" s="43"/>
      <c r="Q27" s="43"/>
      <c r="R27" s="43"/>
      <c r="S27" s="43"/>
    </row>
    <row r="28" spans="1:78" x14ac:dyDescent="0.2">
      <c r="A28" s="91"/>
      <c r="B28" s="95" t="str">
        <f>'[1]Parameters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'[1]Parameters List'!B29</f>
        <v>Desired CPI (ms)</v>
      </c>
      <c r="C29" s="64">
        <v>446</v>
      </c>
      <c r="D29" s="64">
        <v>5</v>
      </c>
      <c r="G29" s="43"/>
      <c r="H29" s="43"/>
      <c r="I29" s="43"/>
      <c r="J29" s="43"/>
      <c r="K29" s="43"/>
      <c r="L29" s="43"/>
      <c r="M29" s="43"/>
      <c r="N29" s="43"/>
      <c r="O29" s="43"/>
      <c r="P29" s="43"/>
      <c r="Q29" s="43"/>
      <c r="R29" s="43"/>
      <c r="S29" s="43"/>
    </row>
    <row r="30" spans="1:78" x14ac:dyDescent="0.2">
      <c r="A30" s="91" t="s">
        <v>78</v>
      </c>
      <c r="B30" s="95" t="str">
        <f>'[1]Parameters List'!B30</f>
        <v>Actual CPI (ms)</v>
      </c>
      <c r="C30" s="33">
        <f>(C$49*$C$104*C$51)/1000</f>
        <v>445.64479999999998</v>
      </c>
      <c r="D30" s="33">
        <f>(D$49*$C$104*D$51)/1000</f>
        <v>4.7871999999999995</v>
      </c>
      <c r="F30" s="43"/>
      <c r="G30" s="43"/>
      <c r="H30" s="43"/>
      <c r="I30" s="43"/>
      <c r="J30" s="43"/>
      <c r="K30" s="43"/>
      <c r="L30" s="43"/>
      <c r="M30" s="43"/>
      <c r="N30" s="43"/>
      <c r="O30" s="43"/>
      <c r="P30" s="43"/>
      <c r="Q30" s="43"/>
      <c r="R30" s="43"/>
      <c r="S30" s="43"/>
    </row>
    <row r="31" spans="1:78" x14ac:dyDescent="0.2">
      <c r="A31" s="91" t="s">
        <v>78</v>
      </c>
      <c r="B31" s="94" t="str">
        <f>'[1]Parameters List'!B31</f>
        <v>Multi Stagger - PRI Ext (in Chip Units)</v>
      </c>
      <c r="C31" s="64">
        <v>0</v>
      </c>
      <c r="D31" s="64">
        <v>0</v>
      </c>
      <c r="E31" s="65"/>
      <c r="F31" s="119"/>
      <c r="G31" s="43"/>
      <c r="H31" s="43"/>
      <c r="I31" s="43"/>
      <c r="J31" s="43"/>
      <c r="K31" s="43"/>
      <c r="L31" s="43"/>
      <c r="M31" s="43"/>
      <c r="N31" s="43"/>
      <c r="O31" s="43"/>
      <c r="P31" s="43"/>
      <c r="Q31" s="43"/>
      <c r="R31" s="43"/>
      <c r="S31" s="43"/>
    </row>
    <row r="32" spans="1:78" x14ac:dyDescent="0.2">
      <c r="A32" s="91" t="s">
        <v>78</v>
      </c>
      <c r="B32" s="94" t="str">
        <f>'[1]Parameters List'!B32</f>
        <v>Stagger1 PRI (µs)</v>
      </c>
      <c r="C32" s="64">
        <v>13.5</v>
      </c>
      <c r="D32" s="64">
        <v>14</v>
      </c>
      <c r="F32" s="43"/>
      <c r="G32" s="43"/>
      <c r="H32" s="43"/>
      <c r="I32" s="43"/>
      <c r="J32" s="43"/>
      <c r="K32" s="43"/>
      <c r="L32" s="43"/>
      <c r="M32" s="43"/>
      <c r="N32" s="43"/>
      <c r="O32" s="43"/>
      <c r="P32" s="43"/>
      <c r="Q32" s="43"/>
      <c r="R32" s="43"/>
      <c r="S32" s="43"/>
    </row>
    <row r="33" spans="1:19" x14ac:dyDescent="0.2">
      <c r="A33" s="91" t="s">
        <v>78</v>
      </c>
      <c r="B33" s="94" t="str">
        <f>'[1]Parameters List'!B33</f>
        <v>Stagger2 PRI (µs)</v>
      </c>
      <c r="C33" s="64">
        <v>0</v>
      </c>
      <c r="D33" s="64">
        <v>0</v>
      </c>
      <c r="F33" s="43"/>
      <c r="G33" s="43"/>
      <c r="H33" s="43"/>
      <c r="I33" s="43"/>
      <c r="J33" s="43"/>
      <c r="K33" s="43"/>
      <c r="L33" s="43"/>
      <c r="M33" s="43"/>
      <c r="N33" s="43"/>
      <c r="O33" s="43"/>
      <c r="P33" s="43"/>
      <c r="Q33" s="43"/>
      <c r="R33" s="43"/>
      <c r="S33" s="43"/>
    </row>
    <row r="34" spans="1:19" x14ac:dyDescent="0.2">
      <c r="A34" s="91" t="s">
        <v>81</v>
      </c>
      <c r="B34" s="95" t="str">
        <f>'[1]Parameters List'!B34</f>
        <v>Number of Staggers (1 or 2)</v>
      </c>
      <c r="C34" s="67">
        <f>1*(C$32&lt;&gt;0)+1*(C$33&lt;&gt;0)</f>
        <v>1</v>
      </c>
      <c r="D34" s="67">
        <f>1*(D$32&lt;&gt;0)+1*(D$33&lt;&gt;0)</f>
        <v>1</v>
      </c>
      <c r="F34" s="43"/>
      <c r="G34" s="43"/>
      <c r="H34" s="43"/>
      <c r="I34" s="43"/>
      <c r="J34" s="43"/>
      <c r="K34" s="43"/>
      <c r="L34" s="43"/>
      <c r="M34" s="43"/>
      <c r="N34" s="43"/>
      <c r="O34" s="43"/>
      <c r="P34" s="43"/>
      <c r="Q34" s="43"/>
      <c r="R34" s="43"/>
      <c r="S34" s="43"/>
    </row>
    <row r="35" spans="1:19" x14ac:dyDescent="0.2">
      <c r="A35" s="91"/>
      <c r="B35" s="94" t="str">
        <f>'[1]Parameters List'!B35</f>
        <v>Stagger Loss (dB)</v>
      </c>
      <c r="C35" s="64">
        <v>0</v>
      </c>
      <c r="D35" s="64">
        <v>3.01</v>
      </c>
      <c r="F35" s="43"/>
      <c r="G35" s="43"/>
      <c r="H35" s="43"/>
      <c r="I35" s="43"/>
      <c r="J35" s="43"/>
      <c r="K35" s="43"/>
      <c r="L35" s="43"/>
      <c r="M35" s="43"/>
      <c r="N35" s="43"/>
      <c r="O35" s="43"/>
      <c r="P35" s="43"/>
      <c r="Q35" s="43"/>
      <c r="R35" s="43"/>
      <c r="S35" s="43"/>
    </row>
    <row r="36" spans="1:19" x14ac:dyDescent="0.2">
      <c r="A36" s="91" t="s">
        <v>78</v>
      </c>
      <c r="B36" s="95" t="str">
        <f>'[1]Parameters List'!B36</f>
        <v>PW (µs)</v>
      </c>
      <c r="C36" s="33">
        <f>C$46*C$48*$C$174</f>
        <v>2.8000000000000003</v>
      </c>
      <c r="D36" s="33">
        <f>D$46*D$48*$C$174</f>
        <v>3.9000000000000004</v>
      </c>
      <c r="F36" s="43"/>
      <c r="G36" s="43"/>
      <c r="H36" s="43"/>
      <c r="I36" s="43"/>
      <c r="J36" s="43"/>
      <c r="K36" s="43"/>
      <c r="L36" s="43"/>
      <c r="M36" s="43"/>
      <c r="N36" s="43"/>
      <c r="O36" s="43"/>
      <c r="P36" s="43"/>
      <c r="Q36" s="43"/>
      <c r="R36" s="43"/>
      <c r="S36" s="43"/>
    </row>
    <row r="37" spans="1:19" x14ac:dyDescent="0.2">
      <c r="A37" s="91" t="s">
        <v>78</v>
      </c>
      <c r="B37" s="95" t="str">
        <f>'[1]Parameters List'!B37</f>
        <v>Actual Bandwidth (MHz)</v>
      </c>
      <c r="C37" s="33">
        <f>2*C$48/(C$36*(2*(C$48=2)+1*(C$48&lt;&gt;2)))</f>
        <v>4.9999999999999991</v>
      </c>
      <c r="D37" s="33">
        <f>2*D$48/(D$36*(2*(D$48=2)+1*(D$48&lt;&gt;2)))</f>
        <v>6.6666666666666661</v>
      </c>
      <c r="F37" s="43"/>
      <c r="G37" s="43"/>
      <c r="H37" s="43"/>
      <c r="I37" s="43"/>
      <c r="J37" s="43"/>
      <c r="K37" s="43"/>
      <c r="L37" s="43"/>
      <c r="M37" s="43"/>
      <c r="N37" s="43"/>
      <c r="O37" s="43"/>
      <c r="P37" s="43"/>
      <c r="Q37" s="43"/>
      <c r="R37" s="43"/>
      <c r="S37" s="43"/>
    </row>
    <row r="38" spans="1:19" x14ac:dyDescent="0.2">
      <c r="A38" s="91" t="s">
        <v>81</v>
      </c>
      <c r="B38" s="95" t="str">
        <f>'[1]Parameters List'!B38</f>
        <v>Range Resolution (m)</v>
      </c>
      <c r="C38" s="67">
        <f>$C$163*C$36 /C$48*(2*(C$48=2)+1*(C$48&lt;&gt;2))</f>
        <v>59.958491600000009</v>
      </c>
      <c r="D38" s="67">
        <f>$C$163*D$36 /D$48*(2*(D$48=2)+1*(D$48&lt;&gt;2))</f>
        <v>44.968868700000002</v>
      </c>
      <c r="F38" s="43"/>
      <c r="G38" s="43"/>
      <c r="H38" s="43"/>
      <c r="I38" s="43"/>
      <c r="J38" s="43"/>
      <c r="K38" s="43"/>
      <c r="L38" s="43"/>
      <c r="M38" s="43"/>
      <c r="N38" s="43"/>
      <c r="O38" s="43"/>
      <c r="P38" s="43"/>
      <c r="Q38" s="43"/>
      <c r="R38" s="43"/>
      <c r="S38" s="43"/>
    </row>
    <row r="39" spans="1:19" x14ac:dyDescent="0.2">
      <c r="A39" s="91" t="s">
        <v>81</v>
      </c>
      <c r="B39" s="95" t="str">
        <f>'[1]Parameters List'!B39</f>
        <v>Range Gate Width (m)</v>
      </c>
      <c r="C39" s="67">
        <f>C$38*(1*(C$47=0)+0.5*(C$47&lt;&gt;0))</f>
        <v>29.979245800000005</v>
      </c>
      <c r="D39" s="67">
        <f>D$38*(1*(D$47=0)+0.5*(D$47&lt;&gt;0))</f>
        <v>22.484434350000001</v>
      </c>
      <c r="F39" s="43"/>
      <c r="G39" s="43"/>
      <c r="H39" s="43"/>
      <c r="I39" s="43"/>
      <c r="J39" s="43"/>
      <c r="K39" s="43"/>
      <c r="L39" s="43"/>
      <c r="M39" s="43"/>
      <c r="N39" s="43"/>
      <c r="O39" s="43"/>
      <c r="P39" s="43"/>
      <c r="Q39" s="43"/>
      <c r="R39" s="43"/>
      <c r="S39" s="43"/>
    </row>
    <row r="40" spans="1:19" x14ac:dyDescent="0.2">
      <c r="A40" s="91" t="s">
        <v>78</v>
      </c>
      <c r="B40" s="94" t="str">
        <f>'[1]Parameters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'[1]Parameters List'!B41</f>
        <v>Min Range Offset (m)</v>
      </c>
      <c r="C41" s="64">
        <v>30</v>
      </c>
      <c r="D41" s="64">
        <v>0</v>
      </c>
      <c r="F41" s="43"/>
      <c r="G41" s="43"/>
      <c r="H41" s="43"/>
      <c r="I41" s="43"/>
      <c r="J41" s="43"/>
      <c r="K41" s="43"/>
      <c r="L41" s="43"/>
      <c r="M41" s="43"/>
      <c r="N41" s="43"/>
      <c r="O41" s="43"/>
      <c r="P41" s="43"/>
      <c r="Q41" s="43"/>
      <c r="R41" s="43"/>
      <c r="S41" s="43"/>
    </row>
    <row r="42" spans="1:19" x14ac:dyDescent="0.2">
      <c r="A42" s="91" t="s">
        <v>78</v>
      </c>
      <c r="B42" s="94" t="str">
        <f>'[1]Parameters List'!B42</f>
        <v>Max Range Offset (m)</v>
      </c>
      <c r="C42" s="64">
        <v>30</v>
      </c>
      <c r="D42" s="64">
        <v>0</v>
      </c>
      <c r="F42" s="43"/>
      <c r="G42" s="43"/>
      <c r="H42" s="43"/>
      <c r="I42" s="43"/>
      <c r="J42" s="43"/>
      <c r="K42" s="43"/>
      <c r="L42" s="43"/>
      <c r="M42" s="43"/>
      <c r="N42" s="43"/>
      <c r="O42" s="43"/>
      <c r="P42" s="43"/>
      <c r="Q42" s="43"/>
      <c r="R42" s="43"/>
      <c r="S42" s="43"/>
    </row>
    <row r="43" spans="1:19" x14ac:dyDescent="0.2">
      <c r="A43" s="91" t="s">
        <v>78</v>
      </c>
      <c r="B43" s="95" t="str">
        <f>'[1]Parameters List'!B43</f>
        <v>Min Range (m)</v>
      </c>
      <c r="C43" s="67">
        <f>$C$163*C$36 + C$41</f>
        <v>449.70944120000007</v>
      </c>
      <c r="D43" s="67">
        <f>$C$163*D$36 + D$41</f>
        <v>584.59529310000005</v>
      </c>
      <c r="F43" s="43"/>
      <c r="G43" s="43"/>
      <c r="H43" s="43"/>
      <c r="I43" s="43"/>
      <c r="J43" s="43"/>
      <c r="K43" s="43"/>
      <c r="L43" s="43"/>
      <c r="M43" s="43"/>
      <c r="N43" s="43"/>
      <c r="O43" s="43"/>
      <c r="P43" s="43"/>
      <c r="Q43" s="43"/>
      <c r="R43" s="43"/>
      <c r="S43" s="43"/>
    </row>
    <row r="44" spans="1:19" x14ac:dyDescent="0.2">
      <c r="A44" s="91" t="s">
        <v>78</v>
      </c>
      <c r="B44" s="95" t="str">
        <f>'[1]Parameters List'!B44</f>
        <v>Max Range (m)</v>
      </c>
      <c r="C44" s="67">
        <f>$C$163*((C$45-1)*C$46*$C$174/IF(C$48=2,IF(C$47=1,1,0.5),IF(C$47=1,2,1)))+C$43</f>
        <v>1528.9622900000002</v>
      </c>
      <c r="D44" s="67">
        <f>$C$163*((D$45-1)*D$46*$C$174/IF(D$48=2,IF(D$47=1,1,0.5),IF(D$47=1,2,1)))+D$43</f>
        <v>1483.9726671000001</v>
      </c>
      <c r="F44" s="43"/>
      <c r="G44" s="43"/>
      <c r="H44" s="43"/>
      <c r="I44" s="43"/>
      <c r="J44" s="43"/>
      <c r="K44" s="43"/>
      <c r="L44" s="43"/>
      <c r="M44" s="43"/>
      <c r="N44" s="43"/>
      <c r="O44" s="43"/>
      <c r="P44" s="43"/>
      <c r="Q44" s="43"/>
      <c r="R44" s="43"/>
      <c r="S44" s="43"/>
    </row>
    <row r="45" spans="1:19" x14ac:dyDescent="0.2">
      <c r="A45" s="91" t="s">
        <v>78</v>
      </c>
      <c r="B45" s="95" t="str">
        <f>'[1]Parameters List'!B45</f>
        <v>NRG</v>
      </c>
      <c r="C45" s="33">
        <f>FLOOR((C$32-$C$161-2*C$36-(C$41+C$42)/$C$163)/(IF(C$48=2,IF(C$47=0,C$46*$C$174*2,C$46*$C$174),IF(C$47=0,C$46*$C$174,C$46*$C$174/2))),1)+1</f>
        <v>37</v>
      </c>
      <c r="D45" s="33">
        <f>FLOOR((D$32-$C$161-2*D$36-(D$41+D$42)/$C$163)/(IF(D$48=2,IF(D$47=0,D$46*$C$174*2,D$46*$C$174),IF(D$47=0,D$46*$C$174,D$46*$C$174/2))),1)+1</f>
        <v>41</v>
      </c>
      <c r="F45" s="43"/>
      <c r="G45" s="43"/>
      <c r="H45" s="43"/>
      <c r="I45" s="43"/>
      <c r="J45" s="43"/>
      <c r="K45" s="43"/>
      <c r="L45" s="43"/>
      <c r="M45" s="43"/>
      <c r="N45" s="43"/>
      <c r="O45" s="43"/>
      <c r="P45" s="43"/>
      <c r="Q45" s="43"/>
      <c r="R45" s="43"/>
      <c r="S45" s="43"/>
    </row>
    <row r="46" spans="1:19" x14ac:dyDescent="0.2">
      <c r="A46" s="91" t="s">
        <v>78</v>
      </c>
      <c r="B46" s="94" t="str">
        <f>'[1]Parameters List'!B46</f>
        <v>TCHIP (even number)</v>
      </c>
      <c r="C46" s="64">
        <v>32</v>
      </c>
      <c r="D46" s="64">
        <v>24</v>
      </c>
      <c r="F46" s="43"/>
      <c r="G46" s="43"/>
      <c r="H46" s="43"/>
      <c r="I46" s="43"/>
      <c r="J46" s="43"/>
      <c r="K46" s="43"/>
      <c r="L46" s="43"/>
      <c r="M46" s="43"/>
      <c r="N46" s="43"/>
      <c r="O46" s="43"/>
      <c r="P46" s="43"/>
      <c r="Q46" s="43"/>
      <c r="R46" s="43"/>
      <c r="S46" s="43"/>
    </row>
    <row r="47" spans="1:19" x14ac:dyDescent="0.2">
      <c r="A47" s="91" t="s">
        <v>78</v>
      </c>
      <c r="B47" s="94" t="str">
        <f>'[1]Parameters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'[1]Parameters List'!B48</f>
        <v>NSERIES</v>
      </c>
      <c r="C48" s="64">
        <v>7</v>
      </c>
      <c r="D48" s="64">
        <v>13</v>
      </c>
      <c r="F48" s="43"/>
      <c r="G48" s="43"/>
      <c r="H48" s="43"/>
      <c r="I48" s="43"/>
      <c r="J48" s="43"/>
      <c r="K48" s="43"/>
      <c r="L48" s="43"/>
      <c r="M48" s="43"/>
      <c r="N48" s="43"/>
      <c r="O48" s="43"/>
      <c r="P48" s="43"/>
      <c r="Q48" s="43"/>
      <c r="R48" s="43"/>
      <c r="S48" s="43"/>
    </row>
    <row r="49" spans="1:19" x14ac:dyDescent="0.2">
      <c r="A49" s="91" t="s">
        <v>78</v>
      </c>
      <c r="B49" s="94" t="str">
        <f>'[1]Parameters List'!B49</f>
        <v>POSTDEC</v>
      </c>
      <c r="C49" s="64">
        <v>8</v>
      </c>
      <c r="D49" s="64">
        <v>1</v>
      </c>
      <c r="F49" s="43"/>
      <c r="G49" s="43"/>
      <c r="H49" s="43"/>
      <c r="I49" s="43"/>
      <c r="J49" s="43"/>
      <c r="K49" s="43"/>
      <c r="L49" s="43"/>
      <c r="M49" s="43"/>
      <c r="N49" s="43"/>
      <c r="O49" s="43"/>
      <c r="P49" s="43"/>
      <c r="Q49" s="43"/>
      <c r="R49" s="43"/>
      <c r="S49" s="43"/>
    </row>
    <row r="50" spans="1:19" x14ac:dyDescent="0.2">
      <c r="A50" s="91"/>
      <c r="B50" s="80" t="str">
        <f>'[1]Parameters List'!B50</f>
        <v>Max Abs Velocity Meas (m/s)</v>
      </c>
      <c r="C50" s="70">
        <f>1000000/($C$168*2*$C$104*C$49)</f>
        <v>196.81752757352942</v>
      </c>
      <c r="D50" s="70">
        <f>1000000/($C$168*2*$C$104*D$49)</f>
        <v>1574.5402205882353</v>
      </c>
      <c r="F50" s="43"/>
      <c r="G50" s="43"/>
      <c r="H50" s="43"/>
      <c r="I50" s="43"/>
      <c r="J50" s="43"/>
      <c r="K50" s="43"/>
      <c r="L50" s="43"/>
      <c r="M50" s="43"/>
      <c r="N50" s="43"/>
      <c r="O50" s="43"/>
      <c r="P50" s="43"/>
      <c r="Q50" s="43"/>
      <c r="R50" s="43"/>
      <c r="S50" s="43"/>
    </row>
    <row r="51" spans="1:19" x14ac:dyDescent="0.2">
      <c r="A51" s="91" t="s">
        <v>78</v>
      </c>
      <c r="B51" s="95" t="str">
        <f>'[1]Parameters List'!B51</f>
        <v>Npoints (up to FFT length)</v>
      </c>
      <c r="C51" s="33">
        <f>FLOOR((1000*C$29/$C$104/C$49),16)</f>
        <v>4096</v>
      </c>
      <c r="D51" s="33">
        <f>FLOOR((1000*D$29/$C$104/D$49),16)</f>
        <v>352</v>
      </c>
      <c r="F51" s="43"/>
      <c r="G51" s="43"/>
      <c r="H51" s="43"/>
      <c r="I51" s="43"/>
      <c r="J51" s="43"/>
      <c r="K51" s="43"/>
      <c r="L51" s="43"/>
      <c r="M51" s="43"/>
      <c r="N51" s="43"/>
      <c r="O51" s="43"/>
      <c r="P51" s="43"/>
      <c r="Q51" s="43"/>
      <c r="R51" s="43"/>
      <c r="S51" s="43"/>
    </row>
    <row r="52" spans="1:19" x14ac:dyDescent="0.2">
      <c r="A52" s="91" t="s">
        <v>78</v>
      </c>
      <c r="B52" s="95" t="str">
        <f>'[1]Parameters List'!B52</f>
        <v>FFT length (limited to 8192)</v>
      </c>
      <c r="C52" s="33">
        <f>2^CEILING(LOG10(C51)/LOG10(2),1)</f>
        <v>4096</v>
      </c>
      <c r="D52" s="33">
        <f>2^CEILING(LOG10(D51)/LOG10(2),1)</f>
        <v>512</v>
      </c>
      <c r="F52" s="43"/>
      <c r="G52" s="43"/>
      <c r="H52" s="43"/>
      <c r="I52" s="43"/>
      <c r="J52" s="43"/>
      <c r="K52" s="43"/>
      <c r="L52" s="43"/>
      <c r="M52" s="43"/>
      <c r="N52" s="43"/>
      <c r="O52" s="43"/>
      <c r="P52" s="43"/>
      <c r="Q52" s="43"/>
      <c r="R52" s="43"/>
      <c r="S52" s="43"/>
    </row>
    <row r="53" spans="1:19" x14ac:dyDescent="0.2">
      <c r="A53" s="91"/>
      <c r="B53" s="95" t="str">
        <f>'[1]Parameters List'!B53</f>
        <v>NCRG(per rcvr,limited to 512)</v>
      </c>
      <c r="C53" s="67">
        <f>C$45*C$26</f>
        <v>37</v>
      </c>
      <c r="D53" s="67">
        <f>D$45*D$26</f>
        <v>0</v>
      </c>
      <c r="F53" s="43"/>
      <c r="G53" s="43"/>
      <c r="H53" s="43"/>
      <c r="I53" s="43"/>
      <c r="J53" s="43"/>
      <c r="K53" s="43"/>
      <c r="L53" s="43"/>
      <c r="M53" s="43"/>
      <c r="N53" s="43"/>
      <c r="O53" s="43"/>
      <c r="P53" s="43"/>
      <c r="Q53" s="43"/>
      <c r="R53" s="43"/>
      <c r="S53" s="43"/>
    </row>
    <row r="54" spans="1:19" x14ac:dyDescent="0.2">
      <c r="A54" s="91"/>
      <c r="B54" s="95" t="str">
        <f>'[1]Parameters List'!B54</f>
        <v>NCRG(all rcvrs)</v>
      </c>
      <c r="C54" s="67">
        <f>C$53*$C$155</f>
        <v>185</v>
      </c>
      <c r="D54" s="67">
        <f>D$53*$C$155</f>
        <v>0</v>
      </c>
      <c r="F54" s="43"/>
      <c r="G54" s="43"/>
      <c r="H54" s="43"/>
      <c r="I54" s="43"/>
      <c r="J54" s="43"/>
      <c r="K54" s="43"/>
      <c r="L54" s="43"/>
      <c r="M54" s="43"/>
      <c r="N54" s="43"/>
      <c r="O54" s="43"/>
      <c r="P54" s="43"/>
      <c r="Q54" s="43"/>
      <c r="R54" s="43"/>
      <c r="S54" s="43"/>
    </row>
    <row r="55" spans="1:19" x14ac:dyDescent="0.2">
      <c r="A55" s="91"/>
      <c r="B55" s="95" t="str">
        <f>'[1]Parameters List'!B55</f>
        <v>TCHIP (m)</v>
      </c>
      <c r="C55" s="67">
        <f>C46*$C$163*$C$174</f>
        <v>59.958491600000002</v>
      </c>
      <c r="D55" s="67">
        <f>D46*$C$163*$C$174</f>
        <v>44.968868700000002</v>
      </c>
      <c r="F55" s="43"/>
      <c r="G55" s="43"/>
      <c r="H55" s="43"/>
      <c r="I55" s="43"/>
      <c r="J55" s="43"/>
      <c r="K55" s="43"/>
      <c r="L55" s="43"/>
      <c r="M55" s="43"/>
      <c r="N55" s="43"/>
      <c r="O55" s="43"/>
      <c r="P55" s="43"/>
      <c r="Q55" s="43"/>
      <c r="R55" s="43"/>
      <c r="S55" s="43"/>
    </row>
    <row r="56" spans="1:19" x14ac:dyDescent="0.2">
      <c r="A56" s="91"/>
      <c r="B56" s="94" t="str">
        <f>'[1]Parameters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'[1]Parameters List'!B57</f>
        <v>Clutter Margin (m/s)</v>
      </c>
      <c r="C57" s="67">
        <f>IF($C$206+C$56&gt;0,$C$206+C$56+C$67*C$65*1,0)</f>
        <v>1.1338903785420498</v>
      </c>
      <c r="D57" s="67">
        <f>IF($C$206+D$56&gt;0,$C$206+D$56+D$67*D$65*1,0)</f>
        <v>37.652767565036768</v>
      </c>
      <c r="F57" s="43"/>
      <c r="G57" s="43"/>
      <c r="H57" s="43"/>
      <c r="I57" s="43"/>
      <c r="J57" s="43"/>
      <c r="K57" s="43"/>
      <c r="L57" s="43"/>
      <c r="M57" s="43"/>
      <c r="N57" s="43"/>
      <c r="O57" s="43"/>
      <c r="P57" s="43"/>
      <c r="Q57" s="43"/>
      <c r="R57" s="43"/>
      <c r="S57" s="43"/>
    </row>
    <row r="58" spans="1:19" x14ac:dyDescent="0.2">
      <c r="A58" s="91" t="s">
        <v>78</v>
      </c>
      <c r="B58" s="94" t="str">
        <f>'[1]Parameters List'!B58</f>
        <v>Min Velocity (m/s)</v>
      </c>
      <c r="C58" s="64">
        <v>0</v>
      </c>
      <c r="D58" s="64">
        <v>0</v>
      </c>
      <c r="F58" s="43"/>
      <c r="G58" s="43"/>
      <c r="H58" s="43"/>
      <c r="I58" s="43"/>
      <c r="J58" s="43"/>
      <c r="K58" s="43"/>
      <c r="L58" s="43"/>
      <c r="M58" s="43"/>
      <c r="N58" s="43"/>
      <c r="O58" s="43"/>
      <c r="P58" s="43"/>
      <c r="Q58" s="43"/>
      <c r="R58" s="43"/>
      <c r="S58" s="43"/>
    </row>
    <row r="59" spans="1:19" x14ac:dyDescent="0.2">
      <c r="A59" s="91" t="s">
        <v>81</v>
      </c>
      <c r="B59" s="94" t="str">
        <f>'[1]Parameters List'!B59</f>
        <v>Max Velocity (m/s)</v>
      </c>
      <c r="C59" s="64">
        <v>180</v>
      </c>
      <c r="D59" s="64">
        <v>20</v>
      </c>
      <c r="F59" s="43"/>
      <c r="G59" s="43"/>
      <c r="H59" s="43"/>
      <c r="I59" s="43"/>
      <c r="J59" s="43"/>
      <c r="K59" s="43"/>
      <c r="L59" s="43"/>
      <c r="M59" s="43"/>
      <c r="N59" s="43"/>
      <c r="O59" s="43"/>
      <c r="P59" s="43"/>
      <c r="Q59" s="43"/>
      <c r="R59" s="43"/>
      <c r="S59" s="43"/>
    </row>
    <row r="60" spans="1:19" x14ac:dyDescent="0.2">
      <c r="A60" s="91"/>
      <c r="B60" s="68" t="str">
        <f>'[1]Parameters List'!B60</f>
        <v>Loss Velocity (m/s)</v>
      </c>
      <c r="C60" s="67">
        <f>C$38*1000/C$30</f>
        <v>134.54323173971738</v>
      </c>
      <c r="D60" s="67">
        <f>D$38*1000/D$30</f>
        <v>9393.5638160093586</v>
      </c>
      <c r="F60" s="43"/>
      <c r="G60" s="43"/>
      <c r="H60" s="43"/>
      <c r="I60" s="43"/>
      <c r="J60" s="43"/>
      <c r="K60" s="43"/>
      <c r="L60" s="43"/>
      <c r="M60" s="43"/>
      <c r="N60" s="43"/>
      <c r="O60" s="43"/>
      <c r="P60" s="43"/>
      <c r="Q60" s="43"/>
      <c r="R60" s="43"/>
      <c r="S60" s="43"/>
    </row>
    <row r="61" spans="1:19" x14ac:dyDescent="0.2">
      <c r="A61" s="92"/>
      <c r="B61" s="68" t="str">
        <f>'[1]Parameters List'!B61</f>
        <v>Velocity Loss (dB)</v>
      </c>
      <c r="C61" s="67">
        <f>IF(C$59&lt;C$60, 0, IF(C$47=1, IF(C$59&lt;2*C$60, (C$59 / C$60)*0.5*$C$203, 10), IF(C$47=0, IF(C$59&lt;2*C$60, (C$59 / C$60)*$C$202-$C$202/2, 10), 10)))+(-20*LOG10(ABS(SIN(PI()*C$59*$C$168*C$36*10^-6)/(PI()*C$59*$C$168*C$36*10^-6))))</f>
        <v>0.83814124652529265</v>
      </c>
      <c r="D61" s="67">
        <f>IF(D$59&lt;D$60, 0, IF(D$47=1, IF(D$59&lt;2*D$60, (D$59 / D$60)*0.5*$C$203, 10), IF(D$47=0, IF(D$59&lt;2*D$60, (D$59 / D$60)*$C$202-$C$202/2, 10), 10)))+(-20*LOG10(ABS(SIN(PI()*D$59*$C$168*D$36*10^-6)/(PI()*D$59*$C$168*D$36*10^-6))))</f>
        <v>4.7392231192217846E-5</v>
      </c>
    </row>
    <row r="62" spans="1:19" x14ac:dyDescent="0.2">
      <c r="A62" s="92"/>
      <c r="B62" s="71" t="str">
        <f>'[1]Parameters List'!B62</f>
        <v>Max Acceleration (m/s2)</v>
      </c>
      <c r="C62" s="64">
        <v>0</v>
      </c>
      <c r="D62" s="64">
        <v>0</v>
      </c>
    </row>
    <row r="63" spans="1:19" x14ac:dyDescent="0.2">
      <c r="A63" s="91"/>
      <c r="B63" s="68" t="str">
        <f>'[1]Parameters List'!B63</f>
        <v>Loss Acceleration (m/s2)</v>
      </c>
      <c r="C63" s="67">
        <f>C$65*1000/C$30*$C$196</f>
        <v>0.40973076749122533</v>
      </c>
      <c r="D63" s="67">
        <f>D$65*1000/D$30*$C$196</f>
        <v>2441.1014162095403</v>
      </c>
      <c r="F63" s="43"/>
      <c r="G63" s="43"/>
      <c r="H63" s="43"/>
      <c r="I63" s="43"/>
      <c r="J63" s="43"/>
      <c r="K63" s="43"/>
      <c r="L63" s="43"/>
      <c r="M63" s="43"/>
      <c r="N63" s="43"/>
      <c r="O63" s="43"/>
      <c r="P63" s="43"/>
      <c r="Q63" s="43"/>
      <c r="R63" s="43"/>
      <c r="S63" s="43"/>
    </row>
    <row r="64" spans="1:19" x14ac:dyDescent="0.2">
      <c r="A64" s="92"/>
      <c r="B64" s="68" t="str">
        <f>'[1]Parameters List'!B64</f>
        <v>Acceleration Loss (dB)</v>
      </c>
      <c r="C64" s="67">
        <f>IF( C$62 &gt;= C$63, C$62 / C$63 * $C$198, 0)</f>
        <v>0</v>
      </c>
      <c r="D64" s="67">
        <f>IF( D$62 &gt;= D$63, D$62 / D$63 * $C$198, 0)</f>
        <v>0</v>
      </c>
    </row>
    <row r="65" spans="1:19" x14ac:dyDescent="0.2">
      <c r="A65" s="91" t="s">
        <v>81</v>
      </c>
      <c r="B65" s="80" t="str">
        <f>'[1]Parameters List'!B65</f>
        <v>fft2doppler (m/s per FFT bin)</v>
      </c>
      <c r="C65" s="70">
        <f>$C$106*1000/C$49/C$52/$C$168</f>
        <v>9.6102308385512425E-2</v>
      </c>
      <c r="D65" s="70">
        <f>$C$106*1000/D$49/D$52/$C$168</f>
        <v>6.1505477366727952</v>
      </c>
      <c r="F65" s="43"/>
      <c r="G65" s="43"/>
      <c r="H65" s="43"/>
      <c r="I65" s="43"/>
      <c r="J65" s="43"/>
      <c r="K65" s="43"/>
      <c r="L65" s="43"/>
      <c r="M65" s="43"/>
      <c r="N65" s="43"/>
      <c r="O65" s="43"/>
      <c r="P65" s="43"/>
      <c r="Q65" s="43"/>
      <c r="R65" s="43"/>
      <c r="S65" s="43"/>
    </row>
    <row r="66" spans="1:19" x14ac:dyDescent="0.2">
      <c r="A66" s="91"/>
      <c r="B66" s="80" t="str">
        <f>'[1]Parameters List'!B66</f>
        <v>Optimal Peak2Peak Seperation (m/s)</v>
      </c>
      <c r="C66" s="70">
        <f>(C$67+C$68+(C$67+1))*C$65</f>
        <v>2.0181484760957611</v>
      </c>
      <c r="D66" s="70">
        <f>(D$67+D$68+(D$67+1))*D$65</f>
        <v>190.66697983685665</v>
      </c>
      <c r="F66" s="43"/>
      <c r="G66" s="43"/>
      <c r="H66" s="43"/>
      <c r="I66" s="43"/>
      <c r="J66" s="43"/>
      <c r="K66" s="43"/>
      <c r="L66" s="43"/>
      <c r="M66" s="43"/>
      <c r="N66" s="43"/>
      <c r="O66" s="43"/>
      <c r="P66" s="43"/>
      <c r="Q66" s="43"/>
      <c r="R66" s="43"/>
      <c r="S66" s="43"/>
    </row>
    <row r="67" spans="1:19" x14ac:dyDescent="0.2">
      <c r="A67" s="91"/>
      <c r="B67" s="95" t="str">
        <f>'[1]Parameters List'!B67</f>
        <v># FFT bins of peak spreading (one side)</v>
      </c>
      <c r="C67" s="67">
        <f>ROUND((($C$200-1) / 2) * (C$52 / C$51) + (C$62*C$30/1000)/C$65,0)</f>
        <v>4</v>
      </c>
      <c r="D67" s="67">
        <f>ROUND((($C$200-1) / 2) * (D$52 / D$51) + (D$62*D$30/1000)/D$65,0)</f>
        <v>6</v>
      </c>
      <c r="F67" s="43"/>
      <c r="G67" s="43"/>
      <c r="H67" s="43"/>
      <c r="I67" s="43"/>
      <c r="J67" s="43"/>
      <c r="K67" s="43"/>
      <c r="L67" s="43"/>
      <c r="M67" s="43"/>
      <c r="N67" s="43"/>
      <c r="O67" s="43"/>
      <c r="P67" s="43"/>
      <c r="Q67" s="43"/>
      <c r="R67" s="43"/>
      <c r="S67" s="43"/>
    </row>
    <row r="68" spans="1:19" x14ac:dyDescent="0.2">
      <c r="A68" s="91"/>
      <c r="B68" s="95" t="str">
        <f>'[1]Parameters List'!B68</f>
        <v># FFT bins for noise estimation (one side)</v>
      </c>
      <c r="C68" s="67">
        <f>ROUND((($C$201-1)/2*$C$197/$C$199)*(C$52/C$51),0)</f>
        <v>12</v>
      </c>
      <c r="D68" s="67">
        <f>ROUND((($C$201-1)/2*$C$197/$C$199)*(D$52/D$51),0)</f>
        <v>18</v>
      </c>
      <c r="F68" s="43"/>
      <c r="G68" s="43"/>
      <c r="H68" s="43"/>
      <c r="I68" s="43"/>
      <c r="J68" s="43"/>
      <c r="K68" s="43"/>
      <c r="L68" s="43"/>
      <c r="M68" s="43"/>
      <c r="N68" s="43"/>
      <c r="O68" s="43"/>
      <c r="P68" s="43"/>
      <c r="Q68" s="43"/>
      <c r="R68" s="43"/>
      <c r="S68" s="43"/>
    </row>
    <row r="69" spans="1:19" x14ac:dyDescent="0.2">
      <c r="A69" s="91"/>
      <c r="B69" s="95" t="str">
        <f>'[1]Parameters List'!B69</f>
        <v># FFT bins of clutter margin (one side)</v>
      </c>
      <c r="C69" s="67">
        <f>C$57/C$65</f>
        <v>11.798783999999999</v>
      </c>
      <c r="D69" s="67">
        <f>D$57/D$65</f>
        <v>6.1218559999999993</v>
      </c>
      <c r="F69" s="43"/>
      <c r="G69" s="43"/>
      <c r="H69" s="43"/>
      <c r="I69" s="43"/>
      <c r="J69" s="43"/>
      <c r="K69" s="43"/>
      <c r="L69" s="43"/>
      <c r="M69" s="43"/>
      <c r="N69" s="43"/>
      <c r="O69" s="43"/>
      <c r="P69" s="43"/>
      <c r="Q69" s="43"/>
      <c r="R69" s="43"/>
      <c r="S69" s="43"/>
    </row>
    <row r="70" spans="1:19" x14ac:dyDescent="0.2">
      <c r="A70" s="91"/>
      <c r="B70" s="95" t="str">
        <f>'[1]Parameters List'!B70</f>
        <v># FFT bins to min velocity</v>
      </c>
      <c r="C70" s="67">
        <f>FLOOR(C$58/C$65,1)</f>
        <v>0</v>
      </c>
      <c r="D70" s="67">
        <f>FLOOR(D$58/D$65,1)</f>
        <v>0</v>
      </c>
      <c r="F70" s="43"/>
      <c r="G70" s="43"/>
      <c r="H70" s="43"/>
      <c r="I70" s="43"/>
      <c r="J70" s="43"/>
      <c r="K70" s="43"/>
      <c r="L70" s="43"/>
      <c r="M70" s="43"/>
      <c r="N70" s="43"/>
      <c r="O70" s="43"/>
      <c r="P70" s="43"/>
      <c r="Q70" s="43"/>
      <c r="R70" s="43"/>
      <c r="S70" s="43"/>
    </row>
    <row r="71" spans="1:19" x14ac:dyDescent="0.2">
      <c r="A71" s="91"/>
      <c r="B71" s="95" t="str">
        <f>'[1]Parameters List'!B71</f>
        <v># FFT bins to max velocity</v>
      </c>
      <c r="C71" s="67">
        <f>CEILING(C$59/C$65,1)</f>
        <v>1874</v>
      </c>
      <c r="D71" s="67">
        <f>CEILING(D$59/D$65,1)</f>
        <v>4</v>
      </c>
      <c r="F71" s="43"/>
      <c r="G71" s="43"/>
      <c r="H71" s="43"/>
      <c r="I71" s="43"/>
      <c r="J71" s="43"/>
      <c r="K71" s="43"/>
      <c r="L71" s="43"/>
      <c r="M71" s="43"/>
      <c r="N71" s="43"/>
      <c r="O71" s="43"/>
      <c r="P71" s="43"/>
      <c r="Q71" s="43"/>
      <c r="R71" s="43"/>
      <c r="S71" s="43"/>
    </row>
    <row r="72" spans="1:19" x14ac:dyDescent="0.2">
      <c r="A72" s="91" t="s">
        <v>81</v>
      </c>
      <c r="B72" s="95" t="str">
        <f>'[1]Parameters List'!B72</f>
        <v>Noise Mask (example: '-13,-4,4,13)</v>
      </c>
      <c r="C72" s="67" t="str">
        <f>CONCATENATE(TEXT(-C$68-C$67,"0"),",",TEXT(-C$67-1,"0"),",",TEXT(C$67+1,"0"),",",TEXT(C$68+C$67,"0"))</f>
        <v>-16,-5,5,16</v>
      </c>
      <c r="D72" s="67" t="str">
        <f>CONCATENATE(TEXT(-D$68-D$67,"0"),",",TEXT(-D$67-1,"0"),",",TEXT(D$67+1,"0"),",",TEXT(D$68+D$67,"0"))</f>
        <v>-24,-7,7,24</v>
      </c>
      <c r="F72" s="43"/>
      <c r="G72" s="43"/>
      <c r="H72" s="43"/>
      <c r="I72" s="43"/>
      <c r="J72" s="43"/>
      <c r="K72" s="43"/>
      <c r="L72" s="43"/>
      <c r="M72" s="43"/>
      <c r="N72" s="43"/>
      <c r="O72" s="43"/>
      <c r="P72" s="43"/>
      <c r="Q72" s="43"/>
      <c r="R72" s="43"/>
      <c r="S72" s="43"/>
    </row>
    <row r="73" spans="1:19" x14ac:dyDescent="0.2">
      <c r="A73" s="91" t="s">
        <v>81</v>
      </c>
      <c r="B73" s="94" t="str">
        <f>'[1]Parameters List'!B73</f>
        <v>Options (see Options List sheet)</v>
      </c>
      <c r="C73" s="101" t="s">
        <v>501</v>
      </c>
      <c r="D73" s="101" t="s">
        <v>86</v>
      </c>
      <c r="F73" s="43"/>
      <c r="G73" s="43"/>
      <c r="H73" s="43"/>
      <c r="I73" s="43"/>
      <c r="J73" s="43"/>
      <c r="K73" s="43"/>
      <c r="L73" s="43"/>
      <c r="M73" s="43"/>
      <c r="N73" s="43"/>
      <c r="O73" s="43"/>
      <c r="P73" s="43"/>
      <c r="Q73" s="43"/>
      <c r="R73" s="43"/>
      <c r="S73" s="43"/>
    </row>
    <row r="74" spans="1:19" x14ac:dyDescent="0.2">
      <c r="A74" s="91" t="s">
        <v>81</v>
      </c>
      <c r="B74" s="94" t="str">
        <f>'[1]Parameters List'!B74</f>
        <v>SNR Threshold (dB)</v>
      </c>
      <c r="C74" s="73">
        <v>10</v>
      </c>
      <c r="D74" s="73">
        <v>14</v>
      </c>
      <c r="F74" s="43"/>
      <c r="G74" s="43"/>
      <c r="H74" s="43"/>
      <c r="I74" s="43"/>
      <c r="J74" s="43"/>
      <c r="K74" s="43"/>
      <c r="L74" s="43"/>
      <c r="M74" s="43"/>
      <c r="N74" s="43"/>
      <c r="O74" s="43"/>
      <c r="P74" s="43"/>
      <c r="Q74" s="43"/>
      <c r="R74" s="43"/>
      <c r="S74" s="43"/>
    </row>
    <row r="75" spans="1:19" x14ac:dyDescent="0.2">
      <c r="A75" s="91"/>
      <c r="B75" s="80" t="str">
        <f>'[1]Parameters List'!B75</f>
        <v>Probability of False Alarm</v>
      </c>
      <c r="C75" s="70">
        <f>pf_PD_PFA_CFAR("pfa", C$74, C$120, C$121, C$68*2, 1)</f>
        <v>2.3419401494640269E-4</v>
      </c>
      <c r="D75" s="70">
        <f>pf_PD_PFA_CFAR("pfa", D$74, D$120, D$121, D$68*2, 1)</f>
        <v>5.3037140380651938E-9</v>
      </c>
      <c r="F75" s="43"/>
      <c r="G75" s="43"/>
      <c r="H75" s="43"/>
      <c r="I75" s="43"/>
      <c r="J75" s="43"/>
      <c r="K75" s="43"/>
      <c r="L75" s="43"/>
      <c r="M75" s="43"/>
      <c r="N75" s="43"/>
      <c r="O75" s="43"/>
      <c r="P75" s="43"/>
      <c r="Q75" s="43"/>
      <c r="R75" s="43"/>
      <c r="S75" s="43"/>
    </row>
    <row r="76" spans="1:19" x14ac:dyDescent="0.2">
      <c r="A76" s="91"/>
      <c r="B76" s="80" t="str">
        <f>'[1]Parameters List'!B76</f>
        <v>Probability of False Alarm per CPI</v>
      </c>
      <c r="C76" s="70">
        <f>C$75*C$52*C$53</f>
        <v>35.492571353157217</v>
      </c>
      <c r="D76" s="70">
        <f>D$75*D$52*D$53</f>
        <v>0</v>
      </c>
      <c r="F76" s="43"/>
      <c r="G76" s="43"/>
      <c r="H76" s="43"/>
      <c r="I76" s="43"/>
      <c r="J76" s="43"/>
      <c r="K76" s="43"/>
      <c r="L76" s="43"/>
      <c r="M76" s="43"/>
      <c r="N76" s="43"/>
      <c r="O76" s="43"/>
      <c r="P76" s="43"/>
      <c r="Q76" s="43"/>
      <c r="R76" s="43"/>
      <c r="S76" s="43"/>
    </row>
    <row r="77" spans="1:19" x14ac:dyDescent="0.2">
      <c r="A77" s="91"/>
      <c r="B77" s="80" t="str">
        <f>'[1]Parameters List'!B77</f>
        <v>Probability of False Alarm per SEC</v>
      </c>
      <c r="C77" s="70">
        <f>C$76/(C$30/1000)</f>
        <v>79.643185229934744</v>
      </c>
      <c r="D77" s="70">
        <f>D$76/(D$30/1000)</f>
        <v>0</v>
      </c>
      <c r="F77" s="43"/>
      <c r="G77" s="43"/>
      <c r="H77" s="43"/>
      <c r="I77" s="43"/>
      <c r="J77" s="43"/>
      <c r="K77" s="43"/>
      <c r="L77" s="43"/>
      <c r="M77" s="43"/>
      <c r="N77" s="43"/>
      <c r="O77" s="43"/>
      <c r="P77" s="43"/>
      <c r="Q77" s="43"/>
      <c r="R77" s="43"/>
      <c r="S77" s="43"/>
    </row>
    <row r="78" spans="1:19" x14ac:dyDescent="0.2">
      <c r="A78" s="91"/>
      <c r="B78" s="94" t="str">
        <f>'[1]Parameters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'[1]Parameters List'!B79</f>
        <v>STC Init Range (m)</v>
      </c>
      <c r="C79" s="70">
        <f>10^((40*LOG10(C$44)-(C$78-C$99)) / 40)</f>
        <v>2117.1862317429986</v>
      </c>
      <c r="D79" s="70">
        <f>10^((40*LOG10(D$44)-(D$78-D$99)) / 40)</f>
        <v>1494.578449311646</v>
      </c>
      <c r="F79" s="43"/>
      <c r="G79" s="43"/>
      <c r="H79" s="43"/>
      <c r="I79" s="43"/>
      <c r="J79" s="43"/>
      <c r="K79" s="43"/>
      <c r="L79" s="43"/>
      <c r="M79" s="43"/>
      <c r="N79" s="43"/>
      <c r="O79" s="43"/>
      <c r="P79" s="43"/>
      <c r="Q79" s="43"/>
      <c r="R79" s="43"/>
      <c r="S79" s="43"/>
    </row>
    <row r="80" spans="1:19" x14ac:dyDescent="0.2">
      <c r="A80" s="91"/>
      <c r="B80" s="94" t="str">
        <f>'[1]Parameters List'!B80</f>
        <v>Tapered Array (0/1)</v>
      </c>
      <c r="C80" s="101">
        <v>0</v>
      </c>
      <c r="D80" s="101">
        <v>0</v>
      </c>
      <c r="F80" s="43"/>
      <c r="G80" s="43"/>
      <c r="H80" s="43"/>
      <c r="I80" s="43"/>
      <c r="J80" s="43"/>
      <c r="K80" s="43"/>
      <c r="L80" s="43"/>
      <c r="M80" s="43"/>
      <c r="N80" s="43"/>
      <c r="O80" s="43"/>
      <c r="P80" s="43"/>
      <c r="Q80" s="43"/>
      <c r="R80" s="43"/>
      <c r="S80" s="43"/>
    </row>
    <row r="81" spans="1:19" x14ac:dyDescent="0.2">
      <c r="A81" s="91"/>
      <c r="B81" s="94" t="str">
        <f>'[1]Parameters List'!B81</f>
        <v>AGC Set (1-6)</v>
      </c>
      <c r="C81" s="101">
        <v>3</v>
      </c>
      <c r="D81" s="101">
        <v>1</v>
      </c>
      <c r="F81" s="43"/>
      <c r="G81" s="43"/>
      <c r="H81" s="43"/>
      <c r="I81" s="43"/>
      <c r="J81" s="43"/>
      <c r="K81" s="43"/>
      <c r="L81" s="43"/>
      <c r="M81" s="43"/>
      <c r="N81" s="43"/>
      <c r="O81" s="43"/>
      <c r="P81" s="43"/>
      <c r="Q81" s="43"/>
      <c r="R81" s="43"/>
      <c r="S81" s="43"/>
    </row>
    <row r="82" spans="1:19" x14ac:dyDescent="0.2">
      <c r="A82" s="91"/>
      <c r="B82" s="95" t="str">
        <f>'[1]Parameters List'!B82</f>
        <v>RF AGC (dB) - 1st Rx</v>
      </c>
      <c r="C82" s="67">
        <f>VLOOKUP(C$81,'[1]AGC Set Table'!$A$3:$K$9,2,FALSE)</f>
        <v>0</v>
      </c>
      <c r="D82" s="67">
        <f>VLOOKUP(D$81,'[1]AGC Set Table'!$A$3:$K$9,2,FALSE)</f>
        <v>0</v>
      </c>
      <c r="F82" s="43"/>
      <c r="G82" s="43"/>
      <c r="H82" s="43"/>
      <c r="I82" s="43"/>
      <c r="J82" s="43"/>
      <c r="K82" s="43"/>
      <c r="L82" s="43"/>
      <c r="M82" s="43"/>
      <c r="N82" s="43"/>
      <c r="O82" s="43"/>
      <c r="P82" s="43"/>
      <c r="Q82" s="43"/>
      <c r="R82" s="43"/>
      <c r="S82" s="43"/>
    </row>
    <row r="83" spans="1:19" x14ac:dyDescent="0.2">
      <c r="A83" s="91"/>
      <c r="B83" s="95" t="str">
        <f>'[1]Parameters List'!B83</f>
        <v>IF AGC (dB) - 1st Rx</v>
      </c>
      <c r="C83" s="67">
        <f>VLOOKUP(C$81,'[1]AGC Set Table'!$A$3:$K$9,3,FALSE)</f>
        <v>25</v>
      </c>
      <c r="D83" s="67">
        <f>VLOOKUP(D$81,'[1]AGC Set Table'!$A$3:$K$9,3,FALSE)</f>
        <v>15</v>
      </c>
      <c r="F83" s="43"/>
      <c r="G83" s="43"/>
      <c r="H83" s="43"/>
      <c r="I83" s="43"/>
      <c r="J83" s="43"/>
      <c r="K83" s="43"/>
      <c r="L83" s="43"/>
      <c r="M83" s="43"/>
      <c r="N83" s="43"/>
      <c r="O83" s="43"/>
      <c r="P83" s="43"/>
      <c r="Q83" s="43"/>
      <c r="R83" s="43"/>
      <c r="S83" s="43"/>
    </row>
    <row r="84" spans="1:19" x14ac:dyDescent="0.2">
      <c r="A84" s="91"/>
      <c r="B84" s="95" t="str">
        <f>'[1]Parameters List'!B84</f>
        <v>RF AGC (dB) - Ref Rx</v>
      </c>
      <c r="C84" s="67">
        <f>VLOOKUP(C$81,'[1]AGC Set Table'!$A$3:$K$9,8,FALSE)</f>
        <v>0</v>
      </c>
      <c r="D84" s="67">
        <f>VLOOKUP(D$81,'[1]AGC Set Table'!$A$3:$K$9,8,FALSE)</f>
        <v>0</v>
      </c>
      <c r="F84" s="43"/>
      <c r="G84" s="43"/>
      <c r="H84" s="43"/>
      <c r="I84" s="43"/>
      <c r="J84" s="43"/>
      <c r="K84" s="43"/>
      <c r="L84" s="43"/>
      <c r="M84" s="43"/>
      <c r="N84" s="43"/>
      <c r="O84" s="43"/>
      <c r="P84" s="43"/>
      <c r="Q84" s="43"/>
      <c r="R84" s="43"/>
      <c r="S84" s="43"/>
    </row>
    <row r="85" spans="1:19" x14ac:dyDescent="0.2">
      <c r="A85" s="91"/>
      <c r="B85" s="95" t="str">
        <f>'[1]Parameters List'!B85</f>
        <v>IF AGC (dB) - Ref Rx</v>
      </c>
      <c r="C85" s="67">
        <f>VLOOKUP(C$81,'[1]AGC Set Table'!$A$3:$K$9,9,FALSE)</f>
        <v>5</v>
      </c>
      <c r="D85" s="67">
        <f>VLOOKUP(D$81,'[1]AGC Set Table'!$A$3:$K$9,9,FALSE)</f>
        <v>5</v>
      </c>
      <c r="F85" s="43"/>
      <c r="G85" s="43"/>
      <c r="H85" s="43"/>
      <c r="I85" s="43"/>
      <c r="J85" s="43"/>
      <c r="K85" s="43"/>
      <c r="L85" s="43"/>
      <c r="M85" s="43"/>
      <c r="N85" s="43"/>
      <c r="O85" s="43"/>
      <c r="P85" s="43"/>
      <c r="Q85" s="43"/>
      <c r="R85" s="43"/>
      <c r="S85" s="43"/>
    </row>
    <row r="86" spans="1:19" x14ac:dyDescent="0.2">
      <c r="A86" s="91"/>
      <c r="B86" s="95" t="str">
        <f>'[1]Parameters List'!B86</f>
        <v>NF @ADCout (dB) - 1st Rx</v>
      </c>
      <c r="C86" s="67">
        <f>VLOOKUP(C$81,'[1]AGC Set Table'!$A$3:$K$9,IF(C$80=0,6,IF(C$80=1,7)),FALSE)</f>
        <v>4.1399999999999997</v>
      </c>
      <c r="D86" s="67">
        <f>VLOOKUP(D$81,'[1]AGC Set Table'!$A$3:$K$9,IF(D$80=0,6,IF(D$80=1,7)),FALSE)</f>
        <v>2.75</v>
      </c>
      <c r="F86" s="43"/>
      <c r="G86" s="43"/>
      <c r="H86" s="43"/>
      <c r="I86" s="43"/>
      <c r="J86" s="43"/>
      <c r="K86" s="43"/>
      <c r="L86" s="43"/>
      <c r="M86" s="43"/>
      <c r="N86" s="43"/>
      <c r="O86" s="43"/>
      <c r="P86" s="43"/>
      <c r="Q86" s="43"/>
      <c r="R86" s="43"/>
      <c r="S86" s="43"/>
    </row>
    <row r="87" spans="1:19" x14ac:dyDescent="0.2">
      <c r="A87" s="91"/>
      <c r="B87" s="95" t="str">
        <f>'[1]Parameters List'!B87</f>
        <v>NF @ADCout (dB) - Ref Rx</v>
      </c>
      <c r="C87" s="67">
        <f>VLOOKUP(C$81,'[1]AGC Set Table'!$A$3:$K$9,11,FALSE)</f>
        <v>2.5299999999999998</v>
      </c>
      <c r="D87" s="67">
        <f>VLOOKUP(D$81,'[1]AGC Set Table'!$A$3:$K$9,11,FALSE)</f>
        <v>2.5299999999999998</v>
      </c>
      <c r="F87" s="43"/>
      <c r="G87" s="43"/>
      <c r="H87" s="43"/>
      <c r="I87" s="43"/>
      <c r="J87" s="43"/>
      <c r="K87" s="43"/>
      <c r="L87" s="43"/>
      <c r="M87" s="43"/>
      <c r="N87" s="43"/>
      <c r="O87" s="43"/>
      <c r="P87" s="43"/>
      <c r="Q87" s="43"/>
      <c r="R87" s="43"/>
      <c r="S87" s="43"/>
    </row>
    <row r="88" spans="1:19" x14ac:dyDescent="0.2">
      <c r="A88" s="91" t="s">
        <v>81</v>
      </c>
      <c r="B88" s="94" t="str">
        <f>'[1]Parameters List'!B88</f>
        <v>RCS (m^2)</v>
      </c>
      <c r="C88" s="74">
        <v>0.01</v>
      </c>
      <c r="D88" s="74">
        <v>0.1</v>
      </c>
      <c r="F88" s="43"/>
      <c r="G88" s="43"/>
      <c r="H88" s="43"/>
      <c r="I88" s="43"/>
      <c r="J88" s="43"/>
      <c r="K88" s="43"/>
      <c r="L88" s="43"/>
      <c r="M88" s="43"/>
      <c r="N88" s="43"/>
      <c r="O88" s="43"/>
      <c r="P88" s="43"/>
      <c r="Q88" s="43"/>
      <c r="R88" s="43"/>
      <c r="S88" s="43"/>
    </row>
    <row r="89" spans="1:19" x14ac:dyDescent="0.2">
      <c r="A89" s="91"/>
      <c r="B89" s="95" t="str">
        <f>'[1]Parameters List'!B89</f>
        <v>σ(dB/m2)</v>
      </c>
      <c r="C89" s="67">
        <f>10*LOG10(C$88)</f>
        <v>-20</v>
      </c>
      <c r="D89" s="67">
        <f>10*LOG10(D$88)</f>
        <v>-10</v>
      </c>
      <c r="F89" s="43"/>
      <c r="G89" s="43"/>
      <c r="H89" s="43"/>
      <c r="I89" s="43"/>
      <c r="J89" s="43"/>
      <c r="K89" s="43"/>
      <c r="L89" s="43"/>
      <c r="M89" s="43"/>
      <c r="N89" s="43"/>
      <c r="O89" s="43"/>
      <c r="P89" s="43"/>
      <c r="Q89" s="43"/>
      <c r="R89" s="43"/>
      <c r="S89" s="43"/>
    </row>
    <row r="90" spans="1:19" x14ac:dyDescent="0.2">
      <c r="A90" s="91"/>
      <c r="B90" s="80" t="str">
        <f>'[1]Parameters List'!B90</f>
        <v>Tgt min range @ADCin (dBm) - Ref. Rx</v>
      </c>
      <c r="C90" s="70">
        <f>$C$185+$C$186+$C$188+C$89+$C$189-$C$190-40*LOG10(C$43)+$C$171-C$84-C$85-$C$179*(C$80=1)</f>
        <v>-49.182845824394946</v>
      </c>
      <c r="D90" s="70">
        <f>$C$185+$C$186+$C$188+D$89+$C$189-$C$190-40*LOG10(D$43)+$C$171-D$84-D$85-$C$179*(D$80=1)</f>
        <v>-43.739778186332956</v>
      </c>
      <c r="F90" s="43"/>
      <c r="G90" s="43"/>
      <c r="H90" s="43"/>
      <c r="I90" s="43"/>
      <c r="J90" s="43"/>
      <c r="K90" s="43"/>
      <c r="L90" s="43"/>
      <c r="M90" s="43"/>
      <c r="N90" s="43"/>
      <c r="O90" s="43"/>
      <c r="P90" s="43"/>
      <c r="Q90" s="43"/>
      <c r="R90" s="43"/>
      <c r="S90" s="43"/>
    </row>
    <row r="91" spans="1:19" x14ac:dyDescent="0.2">
      <c r="A91" s="91"/>
      <c r="B91" s="80" t="str">
        <f>'[1]Parameters List'!B91</f>
        <v>Tgt max range @ADCin (dBm) - Ref. Rx</v>
      </c>
      <c r="C91" s="70">
        <f>$C$185+$C$186+$C$188+C$89+$C$189-$C$190-40*LOG10(C$44)+$C$171-C$84-C$85-$C$179*(C$80=1)</f>
        <v>-70.441436582630473</v>
      </c>
      <c r="D91" s="70">
        <f>$C$185+$C$186+$C$188+D$89+$C$189-$C$190-40*LOG10(D$44)+$C$171-D$84-D$85-$C$179*(D$80=1)</f>
        <v>-59.922601689174996</v>
      </c>
      <c r="F91" s="43"/>
      <c r="G91" s="43"/>
      <c r="H91" s="43"/>
      <c r="I91" s="43"/>
      <c r="J91" s="43"/>
      <c r="K91" s="43"/>
      <c r="L91" s="43"/>
      <c r="M91" s="43"/>
      <c r="N91" s="43"/>
      <c r="O91" s="43"/>
      <c r="P91" s="43"/>
      <c r="Q91" s="43"/>
      <c r="R91" s="43"/>
      <c r="S91" s="43"/>
    </row>
    <row r="92" spans="1:19" x14ac:dyDescent="0.2">
      <c r="A92" s="91"/>
      <c r="B92" s="95" t="str">
        <f>'[1]Parameters List'!B92</f>
        <v>1st Rx Noise @ADCout (dBm/bin)</v>
      </c>
      <c r="C92" s="67">
        <f>C$86+$C$173+$C$171-C$84-C$85+10*LOG10($C$175*10^6)-$C$178*(C$80=1)+10*LOG10($C$156/$C$157)</f>
        <v>-34.839400086720389</v>
      </c>
      <c r="D92" s="67">
        <f>D$86+$C$173+$C$171-D$84-D$85+10*LOG10($C$175*10^6)-$C$178*(D$80=1)+10*LOG10($C$156/$C$157)</f>
        <v>-36.229400086720375</v>
      </c>
      <c r="F92" s="43"/>
      <c r="G92" s="43"/>
      <c r="H92" s="43"/>
      <c r="I92" s="43"/>
      <c r="J92" s="43"/>
      <c r="K92" s="43"/>
      <c r="L92" s="43"/>
      <c r="M92" s="43"/>
      <c r="N92" s="43"/>
      <c r="O92" s="43"/>
      <c r="P92" s="43"/>
      <c r="Q92" s="43"/>
      <c r="R92" s="43"/>
      <c r="S92" s="43"/>
    </row>
    <row r="93" spans="1:19" x14ac:dyDescent="0.2">
      <c r="A93" s="91"/>
      <c r="B93" s="95" t="str">
        <f>'[1]Parameters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'[1]Parameters List'!B94</f>
        <v>Total Noise @ADCout (dBm/bin)</v>
      </c>
      <c r="C94" s="67">
        <f>10*LOG10(10^((C$93 + 10*LOG10($C$157))/10) + 10^((C$92 + 10*LOG10(($C$182-$C$157) / $C$156))/10))+ (10*LOG10(C$34) - C$35) * (C$34&gt;1)</f>
        <v>-28.74449759340315</v>
      </c>
      <c r="D94" s="67">
        <f>10*LOG10(10^((D$93 + 10*LOG10($C$157))/10) + 10^((D$92 + 10*LOG10(($C$182-$C$157) / $C$156))/10))+ (10*LOG10(D$34) - D$35) * (D$34&gt;1)</f>
        <v>-30.106796884948185</v>
      </c>
      <c r="F94" s="43"/>
      <c r="G94" s="43"/>
      <c r="H94" s="43"/>
      <c r="I94" s="43"/>
      <c r="J94" s="43"/>
      <c r="K94" s="43"/>
      <c r="L94" s="43"/>
      <c r="M94" s="43"/>
      <c r="N94" s="43"/>
      <c r="O94" s="43"/>
      <c r="P94" s="43"/>
      <c r="Q94" s="43"/>
      <c r="R94" s="43"/>
      <c r="S94" s="43"/>
    </row>
    <row r="95" spans="1:19" x14ac:dyDescent="0.2">
      <c r="A95" s="91" t="s">
        <v>81</v>
      </c>
      <c r="B95" s="95" t="str">
        <f>'[1]Parameters List'!B95</f>
        <v>Rx Processing Gain (dB)</v>
      </c>
      <c r="C95" s="67">
        <f>10*LOG10(C$46/2 * C$48 * C$51 * C$49) - $C$195</f>
        <v>62.596679576298996</v>
      </c>
      <c r="D95" s="67">
        <f>10*LOG10(D$46/2 * D$48 * D$51 * D$49) - $C$195</f>
        <v>44.346672618325933</v>
      </c>
      <c r="F95" s="43"/>
      <c r="G95" s="43"/>
      <c r="H95" s="43"/>
      <c r="I95" s="43"/>
      <c r="J95" s="43"/>
      <c r="K95" s="43"/>
      <c r="L95" s="43"/>
      <c r="M95" s="43"/>
      <c r="N95" s="43"/>
      <c r="O95" s="43"/>
      <c r="P95" s="43"/>
      <c r="Q95" s="43"/>
      <c r="R95" s="43"/>
      <c r="S95" s="43"/>
    </row>
    <row r="96" spans="1:19" x14ac:dyDescent="0.2">
      <c r="A96" s="91"/>
      <c r="B96" s="95" t="str">
        <f>'[1]Parameters List'!B96</f>
        <v>Total Processing Gain (dB)</v>
      </c>
      <c r="C96" s="67">
        <f>C$95 + 20*LOG10($C$182) + (20*LOG10(C$34) - 2 * C$35) * (C$34&gt;1)-$C$179*(C$80=1)-$C$177*(C$80=1)</f>
        <v>94.852356710693698</v>
      </c>
      <c r="D96" s="67">
        <f>D$95 + 20*LOG10($C$182) + (20*LOG10(D$34) - 2 * D$35) * (D$34&gt;1)-$C$179*(D$80=1)-$C$177*(D$80=1)</f>
        <v>76.602349752720642</v>
      </c>
      <c r="F96" s="43"/>
      <c r="G96" s="43"/>
      <c r="H96" s="43"/>
      <c r="I96" s="43"/>
      <c r="J96" s="43"/>
      <c r="K96" s="43"/>
      <c r="L96" s="43"/>
      <c r="M96" s="43"/>
      <c r="N96" s="43"/>
      <c r="O96" s="43"/>
      <c r="P96" s="43"/>
      <c r="Q96" s="43"/>
      <c r="R96" s="43"/>
      <c r="S96" s="43"/>
    </row>
    <row r="97" spans="1:19" x14ac:dyDescent="0.2">
      <c r="A97" s="92"/>
      <c r="B97" s="95" t="str">
        <f>'[1]Parameters List'!B97</f>
        <v>Total Loss (dB)</v>
      </c>
      <c r="C97" s="67">
        <f>$C$191 + ($C$202*(C$47=0)+$C$203*(C$47=1)+$C$198) + C$61 + C$64</f>
        <v>2.5009262465252924</v>
      </c>
      <c r="D97" s="67">
        <f>$C$191 + ($C$202*(D$47=0)+$C$203*(D$47=1)+$C$198) + D$61 + D$64</f>
        <v>1.6628323922311923</v>
      </c>
    </row>
    <row r="98" spans="1:19" x14ac:dyDescent="0.2">
      <c r="A98" s="91"/>
      <c r="B98" s="80" t="str">
        <f>'[1]Parameters List'!B98</f>
        <v>SNR min range (dB)</v>
      </c>
      <c r="C98" s="70">
        <f>C$90+C$96-C$94-C$97</f>
        <v>71.91308223317661</v>
      </c>
      <c r="D98" s="70">
        <f>D$90+D$96-D$94-D$97</f>
        <v>61.306536059104673</v>
      </c>
      <c r="F98" s="43"/>
      <c r="G98" s="43"/>
      <c r="H98" s="43"/>
      <c r="I98" s="43"/>
      <c r="J98" s="43"/>
      <c r="K98" s="43"/>
      <c r="L98" s="43"/>
      <c r="M98" s="43"/>
      <c r="N98" s="43"/>
      <c r="O98" s="43"/>
      <c r="P98" s="43"/>
      <c r="Q98" s="43"/>
      <c r="R98" s="43"/>
      <c r="S98" s="43"/>
    </row>
    <row r="99" spans="1:19" x14ac:dyDescent="0.2">
      <c r="A99" s="91"/>
      <c r="B99" s="80" t="str">
        <f>'[1]Parameters List'!B99</f>
        <v>SNR max range (dB)</v>
      </c>
      <c r="C99" s="70">
        <f>C$91+C$96-C$94-C$97</f>
        <v>50.654491474941082</v>
      </c>
      <c r="D99" s="70">
        <f>D$91+D$96-D$94-D$97</f>
        <v>45.123712556262632</v>
      </c>
      <c r="F99" s="43"/>
      <c r="G99" s="43"/>
      <c r="H99" s="43"/>
      <c r="I99" s="43"/>
      <c r="J99" s="43"/>
      <c r="K99" s="43"/>
      <c r="L99" s="43"/>
      <c r="M99" s="43"/>
      <c r="N99" s="43"/>
      <c r="O99" s="43"/>
      <c r="P99" s="43"/>
      <c r="Q99" s="43"/>
      <c r="R99" s="43"/>
      <c r="S99" s="43"/>
    </row>
    <row r="100" spans="1:19" x14ac:dyDescent="0.2">
      <c r="A100" s="91"/>
      <c r="B100" s="95" t="str">
        <f>'[1]Parameters List'!B100</f>
        <v>Duty cycle per beam</v>
      </c>
      <c r="C100" s="67">
        <f>C$36/$C$104</f>
        <v>0.20588235294117649</v>
      </c>
      <c r="D100" s="67">
        <f>D$36/$C$104</f>
        <v>0.28676470588235298</v>
      </c>
      <c r="F100" s="43"/>
      <c r="G100" s="43"/>
      <c r="H100" s="43"/>
      <c r="I100" s="43"/>
      <c r="J100" s="43"/>
      <c r="K100" s="43"/>
      <c r="L100" s="43"/>
      <c r="M100" s="43"/>
      <c r="N100" s="43"/>
      <c r="O100" s="43"/>
      <c r="P100" s="43"/>
      <c r="Q100" s="43"/>
      <c r="R100" s="43"/>
      <c r="S100" s="43"/>
    </row>
    <row r="101" spans="1:19" x14ac:dyDescent="0.2">
      <c r="A101" s="91"/>
      <c r="B101" s="95" t="str">
        <f>'[1]Parameters List'!B101</f>
        <v>Buffer size (KB)</v>
      </c>
      <c r="C101" s="67">
        <f>MROUND((IF(C$21, $C$210*$C$155, C$54)*C$51*8+64)/1024,4)</f>
        <v>2400</v>
      </c>
      <c r="D101" s="67">
        <f>MROUND((IF(D$21, $C$210*$C$155, D$54)*D$51*8+64)/1024,4)</f>
        <v>0</v>
      </c>
      <c r="F101" s="43"/>
      <c r="G101" s="43"/>
      <c r="H101" s="43"/>
      <c r="I101" s="43"/>
      <c r="J101" s="43"/>
      <c r="K101" s="43"/>
      <c r="L101" s="43"/>
      <c r="M101" s="43"/>
      <c r="N101" s="43"/>
      <c r="O101" s="43"/>
      <c r="P101" s="43"/>
      <c r="Q101" s="43"/>
      <c r="R101" s="43"/>
      <c r="S101" s="43"/>
    </row>
    <row r="102" spans="1:19" x14ac:dyDescent="0.2">
      <c r="A102" s="91"/>
      <c r="B102" s="95" t="str">
        <f>'[1]Parameters List'!B102</f>
        <v>PCIe Rate MB/s</v>
      </c>
      <c r="C102" s="67">
        <f>C$101*1024/C$30/1024</f>
        <v>5.3854549632352944</v>
      </c>
      <c r="D102" s="67">
        <f>D$101*1024/D$30/1024</f>
        <v>0</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'[1]Parameters List'!B104</f>
        <v>Total PRI (μs)</v>
      </c>
      <c r="C104" s="77">
        <f>(SUMIF($E$13:$AJ$13,"=1",$E$18:$AJ$18)*C$46+SUMIF($E$13:$AJ$13,"=2",$E$18:$AJ$18)*D$46)*$C$174+$C$208+COUNTIFS(E$13:AJ$13,"=1",E$15:AJ$15,"=1") * C$32 + COUNTIFS(E$13:AJ$13,"=1",E$15:AJ$15,"=2") * C$33 + COUNTIFS(E$13:AJ$13,"=2",E$15:AJ$15,"=1") * D$32 + COUNTIFS(E$13:AJ$13,"=2",E$15:AJ$15,"=2") * D$33</f>
        <v>13.6</v>
      </c>
      <c r="F104" s="43"/>
      <c r="G104" s="43"/>
      <c r="H104" s="43"/>
      <c r="I104" s="43"/>
      <c r="J104" s="43"/>
      <c r="K104" s="43"/>
      <c r="L104" s="43"/>
      <c r="M104" s="43"/>
      <c r="N104" s="43"/>
      <c r="O104" s="43"/>
      <c r="P104" s="43"/>
      <c r="Q104" s="43"/>
      <c r="R104" s="43"/>
      <c r="S104" s="43"/>
    </row>
    <row r="105" spans="1:19" x14ac:dyDescent="0.2">
      <c r="B105" s="76" t="str">
        <f>'[1]Parameters List'!B105</f>
        <v>Unambiguous Range (km)</v>
      </c>
      <c r="C105" s="77">
        <f>$C$104*$C$163/1000</f>
        <v>2.0385887143999999</v>
      </c>
      <c r="F105" s="43"/>
      <c r="G105" s="43"/>
      <c r="H105" s="43"/>
      <c r="I105" s="43"/>
      <c r="J105" s="43"/>
      <c r="K105" s="43"/>
      <c r="L105" s="43"/>
      <c r="M105" s="43"/>
      <c r="N105" s="43"/>
      <c r="O105" s="43"/>
      <c r="P105" s="43"/>
      <c r="Q105" s="43"/>
      <c r="R105" s="43"/>
      <c r="S105" s="43"/>
    </row>
    <row r="106" spans="1:19" x14ac:dyDescent="0.2">
      <c r="B106" s="76" t="str">
        <f>'[1]Parameters List'!B106</f>
        <v>Total PRF (kHz)</v>
      </c>
      <c r="C106" s="77">
        <f>1000/$C$104</f>
        <v>73.529411764705884</v>
      </c>
      <c r="F106" s="43"/>
      <c r="G106" s="43"/>
      <c r="H106" s="43"/>
      <c r="I106" s="43"/>
      <c r="J106" s="43"/>
      <c r="K106" s="43"/>
      <c r="L106" s="43"/>
      <c r="M106" s="43"/>
      <c r="N106" s="43"/>
      <c r="O106" s="43"/>
      <c r="P106" s="43"/>
      <c r="Q106" s="43"/>
      <c r="R106" s="43"/>
      <c r="S106" s="43"/>
    </row>
    <row r="107" spans="1:19" x14ac:dyDescent="0.2">
      <c r="B107" s="76" t="str">
        <f>'[1]Parameters List'!B107</f>
        <v>Folding (Blind) Velocity (m/s)</v>
      </c>
      <c r="C107" s="77">
        <f>1000*$C$106/$C$168</f>
        <v>3149.0804411764711</v>
      </c>
      <c r="F107" s="43"/>
      <c r="G107" s="43"/>
      <c r="H107" s="43"/>
      <c r="I107" s="43"/>
      <c r="J107" s="43"/>
      <c r="K107" s="43"/>
      <c r="L107" s="43"/>
      <c r="M107" s="43"/>
      <c r="N107" s="43"/>
      <c r="O107" s="43"/>
      <c r="P107" s="43"/>
      <c r="Q107" s="43"/>
      <c r="R107" s="43"/>
      <c r="S107" s="43"/>
    </row>
    <row r="108" spans="1:19" x14ac:dyDescent="0.2">
      <c r="B108" s="76" t="str">
        <f>'[1]Parameters List'!B108</f>
        <v>Max Trk Vr STD for Res Vel Amb (m/s)</v>
      </c>
      <c r="C108" s="77">
        <f>$C$107/4</f>
        <v>787.27011029411779</v>
      </c>
      <c r="F108" s="43"/>
      <c r="G108" s="43"/>
      <c r="H108" s="43"/>
      <c r="I108" s="43"/>
      <c r="J108" s="43"/>
      <c r="K108" s="43"/>
      <c r="L108" s="43"/>
      <c r="M108" s="43"/>
      <c r="N108" s="43"/>
      <c r="O108" s="43"/>
      <c r="P108" s="43"/>
      <c r="Q108" s="43"/>
      <c r="R108" s="43"/>
      <c r="S108" s="43"/>
    </row>
    <row r="109" spans="1:19" x14ac:dyDescent="0.2">
      <c r="B109" s="76" t="str">
        <f>'[1]Parameters List'!B109</f>
        <v>Antenna 1 PA Duty cycle</v>
      </c>
      <c r="C109" s="77">
        <f>C$100*IF(C$27&gt;0,C$27,C$26)+D$100*IF(D$27&gt;0,D$27,D$26)</f>
        <v>0.20588235294117649</v>
      </c>
      <c r="F109" s="43"/>
      <c r="G109" s="43"/>
      <c r="H109" s="43"/>
      <c r="I109" s="43"/>
      <c r="J109" s="43"/>
      <c r="K109" s="43"/>
      <c r="L109" s="43"/>
      <c r="M109" s="43"/>
      <c r="N109" s="43"/>
      <c r="O109" s="43"/>
      <c r="P109" s="43"/>
      <c r="Q109" s="43"/>
      <c r="R109" s="43"/>
      <c r="S109" s="43"/>
    </row>
    <row r="110" spans="1:19" x14ac:dyDescent="0.2">
      <c r="B110" s="76" t="str">
        <f>'[1]Parameters List'!B110</f>
        <v>Antenna 2 PA Duty cycle</v>
      </c>
      <c r="C110" s="77">
        <f>C$100*IF(C$28&gt;0,C$28,C$26)+D$100*IF(D$28&gt;0,D$28,D$26)</f>
        <v>0.20588235294117649</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'[1]Parameters List'!B112</f>
        <v>Tgt RCS (m^2):</v>
      </c>
      <c r="C112" s="74">
        <v>100</v>
      </c>
      <c r="D112" s="74">
        <v>0.1</v>
      </c>
      <c r="F112" s="43"/>
      <c r="G112" s="43"/>
      <c r="H112" s="43"/>
      <c r="I112" s="43"/>
      <c r="J112" s="43"/>
      <c r="K112" s="43"/>
      <c r="L112" s="43"/>
      <c r="M112" s="43"/>
      <c r="N112" s="43"/>
      <c r="O112" s="43"/>
      <c r="P112" s="43"/>
      <c r="Q112" s="43"/>
      <c r="R112" s="43"/>
      <c r="S112" s="43"/>
    </row>
    <row r="113" spans="2:19" x14ac:dyDescent="0.2">
      <c r="B113" s="78" t="str">
        <f>'[1]Parameters List'!B113</f>
        <v>SNR @ Range (m):</v>
      </c>
      <c r="C113" s="74">
        <v>50000</v>
      </c>
      <c r="D113" s="74">
        <f>$C$163*D$36 + D$41</f>
        <v>584.59529310000005</v>
      </c>
    </row>
    <row r="114" spans="2:19" x14ac:dyDescent="0.2">
      <c r="B114" s="79" t="str">
        <f>'[1]Parameters List'!B114</f>
        <v>Tgt @ADCin (dBm) - Ref. Rx</v>
      </c>
      <c r="C114" s="70">
        <f>$C$185+$C$186+$C$188+10*LOG10(C$112)+$C$189-$C$190-40*LOG10(C$113)+$C$171-C$84-C$85-$C$179*(C$80=1)</f>
        <v>-91.024365788155876</v>
      </c>
      <c r="D114" s="70">
        <f>$C$185+$C$186+$C$188+10*LOG10(D$112)+$C$189-$C$190-40*LOG10(D$113)+$C$171-D$84-D$85-$C$179*(D$80=1)</f>
        <v>-43.739778186332956</v>
      </c>
    </row>
    <row r="115" spans="2:19" x14ac:dyDescent="0.2">
      <c r="B115" s="95" t="str">
        <f>'[1]Parameters List'!B115</f>
        <v>Tgt @ADCin (dBm) - 1st Rx - no calib.</v>
      </c>
      <c r="C115" s="70">
        <f>C$114-($C$188+$C$171-C$84-C$85-$C$179*(C$80=1))+$C$187+$C$170-C$82-C$83-$C$177*(C$80=1)</f>
        <v>-95.024365788155876</v>
      </c>
      <c r="D115" s="70">
        <f>D$114-($C$188+$C$171-D$84-D$85-$C$179*(D$80=1))+$C$187+$C$170-D$82-D$83-$C$177*(D$80=1)</f>
        <v>-37.739778186332956</v>
      </c>
      <c r="F115" s="43"/>
      <c r="G115" s="43"/>
      <c r="H115" s="43"/>
      <c r="I115" s="43"/>
      <c r="J115" s="43"/>
      <c r="K115" s="43"/>
      <c r="L115" s="43"/>
      <c r="M115" s="43"/>
      <c r="N115" s="43"/>
      <c r="O115" s="43"/>
      <c r="P115" s="43"/>
      <c r="Q115" s="43"/>
      <c r="R115" s="43"/>
      <c r="S115" s="43"/>
    </row>
    <row r="116" spans="2:19" x14ac:dyDescent="0.2">
      <c r="B116" s="95" t="str">
        <f>'[1]Parameters List'!B116</f>
        <v>Tgt @ADCout (dBm) - 1st Rx</v>
      </c>
      <c r="C116" s="70">
        <f>C$114+20*LOG10($C$156/$C$157)-$C$177*(C$80=1)</f>
        <v>-71.024365788155876</v>
      </c>
      <c r="D116" s="70">
        <f>D$114+20*LOG10($C$156/$C$157)-$C$177*(D$80=1)</f>
        <v>-23.739778186332956</v>
      </c>
      <c r="F116" s="43"/>
      <c r="G116" s="43"/>
      <c r="H116" s="43"/>
      <c r="I116" s="43"/>
      <c r="J116" s="43"/>
      <c r="K116" s="43"/>
      <c r="L116" s="43"/>
      <c r="M116" s="43"/>
      <c r="N116" s="43"/>
      <c r="O116" s="43"/>
      <c r="P116" s="43"/>
      <c r="Q116" s="43"/>
      <c r="R116" s="43"/>
      <c r="S116" s="43"/>
    </row>
    <row r="117" spans="2:19" x14ac:dyDescent="0.2">
      <c r="B117" s="95" t="str">
        <f>'[1]Parameters List'!B117</f>
        <v>Tgt @ADCout (dBm)</v>
      </c>
      <c r="C117" s="70">
        <f>20*LOG10(10^(C$114/20)+($C$155-1)*10^(C$116/20))+ (20*LOG10(C$34) - 2 * C$35) * (C$34&gt;1)</f>
        <v>-58.768688653761167</v>
      </c>
      <c r="D117" s="70">
        <f>20*LOG10(10^(D$114/20)+($C$155-1)*10^(D$116/20))+ (20*LOG10(D$34) - 2 * D$35) * (D$34&gt;1)</f>
        <v>-11.484101051938245</v>
      </c>
      <c r="G117" s="43"/>
      <c r="H117" s="43"/>
      <c r="I117" s="43"/>
      <c r="J117" s="43"/>
      <c r="K117" s="43"/>
      <c r="L117" s="43"/>
      <c r="M117" s="43"/>
      <c r="N117" s="43"/>
      <c r="O117" s="43"/>
      <c r="P117" s="43"/>
      <c r="Q117" s="43"/>
      <c r="R117" s="43"/>
      <c r="S117" s="43"/>
    </row>
    <row r="118" spans="2:19" x14ac:dyDescent="0.2">
      <c r="B118" s="79" t="str">
        <f>'[1]Parameters List'!B118</f>
        <v>SNR (dB)</v>
      </c>
      <c r="C118" s="70">
        <f>C117-C$94-C$97+C$95</f>
        <v>30.071562269415686</v>
      </c>
      <c r="D118" s="70">
        <f>D117-D$94-D$97+D$95</f>
        <v>61.306536059104687</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'[1]Parameters List'!B120</f>
        <v>Probability of Detection @ SNR (dB):</v>
      </c>
      <c r="C120" s="64">
        <v>15</v>
      </c>
      <c r="D120" s="64">
        <v>18</v>
      </c>
    </row>
    <row r="121" spans="2:19" x14ac:dyDescent="0.2">
      <c r="B121" s="71" t="str">
        <f>'[1]Parameters List'!B121</f>
        <v>SWERLING (0, I, II, III, IV)</v>
      </c>
      <c r="C121" s="64">
        <v>1</v>
      </c>
      <c r="D121" s="64">
        <v>0</v>
      </c>
    </row>
    <row r="122" spans="2:19" x14ac:dyDescent="0.2">
      <c r="B122" s="79" t="str">
        <f>'[1]Parameters List'!B122</f>
        <v>Probability of Detection</v>
      </c>
      <c r="C122" s="70">
        <f>pf_PD_PFA_CFAR("pd", C$74, C$120, C$121, C$68*2, 1)</f>
        <v>0.73742326593646546</v>
      </c>
      <c r="D122" s="70">
        <f>pf_PD_PFA_CFAR("pd", D$74, D$120, D$121, D$68*2, 1)</f>
        <v>0.99862829518666874</v>
      </c>
    </row>
    <row r="123" spans="2:19" x14ac:dyDescent="0.2">
      <c r="B123" s="71" t="str">
        <f>'[1]Parameters List'!B123</f>
        <v>Pd for at least N of M detections (N,M)</v>
      </c>
      <c r="C123" s="64" t="s">
        <v>386</v>
      </c>
      <c r="D123" s="64" t="s">
        <v>386</v>
      </c>
    </row>
    <row r="124" spans="2:19" x14ac:dyDescent="0.2">
      <c r="B124" s="79" t="str">
        <f>'[1]Parameters List'!B124</f>
        <v>Probability of Detection</v>
      </c>
      <c r="C124" s="70">
        <f>pf_PD_N_OUTOF_M(C$122, LEFT(C$123,FIND(",",C$123,1) - 1), MID(C$123,FIND(",",C$123,1)+1,100))</f>
        <v>0.98122463812449057</v>
      </c>
      <c r="D124" s="70">
        <f>pf_PD_N_OUTOF_M(D$122, LEFT(D$123,FIND(",",D$123,1) - 1), MID(D$123,FIND(",",D$123,1)+1,100))</f>
        <v>0.99999999998231781</v>
      </c>
    </row>
    <row r="125" spans="2:19" x14ac:dyDescent="0.2">
      <c r="B125" s="75"/>
    </row>
    <row r="126" spans="2:19" x14ac:dyDescent="0.2">
      <c r="B126" s="71" t="str">
        <f>'[1]Parameters List'!B126</f>
        <v>Target Revisit Time (sec)</v>
      </c>
      <c r="C126" s="64">
        <v>0.05</v>
      </c>
      <c r="D126" s="64">
        <v>0.05</v>
      </c>
    </row>
    <row r="127" spans="2:19" x14ac:dyDescent="0.2">
      <c r="B127" s="68" t="str">
        <f>'[1]Parameters List'!B127</f>
        <v>Acceleration Folding (m/s2)</v>
      </c>
      <c r="C127" s="67">
        <f>$C$107/C$126</f>
        <v>62981.608823529423</v>
      </c>
      <c r="D127" s="67">
        <f>$C$107/D$126</f>
        <v>62981.608823529423</v>
      </c>
    </row>
    <row r="128" spans="2:19" x14ac:dyDescent="0.2">
      <c r="B128" s="80" t="str">
        <f>'[1]Parameters List'!B128</f>
        <v>Maximum Allowed Acceleration (m/s2)</v>
      </c>
      <c r="C128" s="70">
        <f>($C$107/4)/C$126</f>
        <v>15745.402205882356</v>
      </c>
      <c r="D128" s="70">
        <f>($C$107/4)/D$126</f>
        <v>15745.402205882356</v>
      </c>
    </row>
    <row r="129" spans="2:19" x14ac:dyDescent="0.2">
      <c r="B129" s="80" t="str">
        <f>'[1]Parameters List'!B129</f>
        <v>Acceleration Ambiguity (m/s2)</v>
      </c>
      <c r="C129" s="70">
        <f>C$127-C$128</f>
        <v>47236.206617647069</v>
      </c>
      <c r="D129" s="70">
        <f>D$127-D$128</f>
        <v>47236.206617647069</v>
      </c>
    </row>
    <row r="130" spans="2:19" x14ac:dyDescent="0.2">
      <c r="B130" s="75"/>
    </row>
    <row r="131" spans="2:19" x14ac:dyDescent="0.2">
      <c r="B131" s="78" t="str">
        <f>'[1]Parameters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'[1]Parameters List'!B132</f>
        <v>SNR @ Range (m):</v>
      </c>
      <c r="C132" s="74">
        <f>$C$163*C$36 + C$41</f>
        <v>449.70944120000007</v>
      </c>
      <c r="D132" s="74">
        <f>$C$163*D$36 + D$41</f>
        <v>584.59529310000005</v>
      </c>
    </row>
    <row r="133" spans="2:19" x14ac:dyDescent="0.2">
      <c r="B133" s="79" t="str">
        <f>'[1]Parameters List'!B133</f>
        <v>Tgt @ADCin (dBm) - Ref. Rx</v>
      </c>
      <c r="C133" s="70">
        <f>$C$185+$C$186+$C$188+10*LOG10(C$131)+$C$189-$C$190-40*LOG10(C$132)+$C$171-C$84-C$85-$C$179*(C$80=1)</f>
        <v>-49.182845824394946</v>
      </c>
      <c r="D133" s="70">
        <f>$C$185+$C$186+$C$188+10*LOG10(D$131)+$C$189-$C$190-40*LOG10(D$132)+$C$171-D$84-D$85-$C$179*(D$80=1)</f>
        <v>-43.739778186332956</v>
      </c>
    </row>
    <row r="134" spans="2:19" x14ac:dyDescent="0.2">
      <c r="B134" s="78" t="str">
        <f>'[1]Parameters List'!B134</f>
        <v>Interferer @ Range (m)</v>
      </c>
      <c r="C134" s="74">
        <v>10000</v>
      </c>
      <c r="D134" s="74">
        <v>10000</v>
      </c>
    </row>
    <row r="135" spans="2:19" x14ac:dyDescent="0.2">
      <c r="B135" s="79" t="str">
        <f>'[1]Parameters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'[1]Parameters List'!B136</f>
        <v>Interferer @ ADCin (dBm) - 1st Rx</v>
      </c>
      <c r="C136" s="70">
        <f>C$135+20*LOG10($C$156/$C$157)-$C$177*(C$80=1)</f>
        <v>27.926533025505833</v>
      </c>
      <c r="D136" s="70">
        <f>$C$185+$C$186+$C$187-$C$166+$C$189-$C$190/3*2-20*LOG10(D$134)+$C$170-D$84-D$85-$C$177*(D$80=1)</f>
        <v>23.926533025505833</v>
      </c>
    </row>
    <row r="137" spans="2:19" x14ac:dyDescent="0.2">
      <c r="B137" s="81" t="str">
        <f>'[1]Parameters List'!B137</f>
        <v>Ref. Rx Phase Noise @ADCin (dBm/bin)</v>
      </c>
      <c r="C137" s="67">
        <f>C$135+$C$165+10*LOG10(1/(C$30*10^-3))+10*LOG10($C$175*10^6/($C$106*10^3))</f>
        <v>-86.207366410811716</v>
      </c>
      <c r="D137" s="67">
        <f>D$135+$C$165+10*LOG10(1/(D$30*10^-3))+10*LOG10($C$175*10^6/($C$106*10^3))</f>
        <v>-66.518293695995851</v>
      </c>
    </row>
    <row r="138" spans="2:19" x14ac:dyDescent="0.2">
      <c r="B138" s="81" t="str">
        <f>'[1]Parameters List'!B138</f>
        <v>Ref. Rx Phase Noise @ADCout (dBm/bin)</v>
      </c>
      <c r="C138" s="67">
        <f>C$137+C$95</f>
        <v>-23.61068683451272</v>
      </c>
      <c r="D138" s="67">
        <f>D$137+D$95</f>
        <v>-22.171621077669919</v>
      </c>
    </row>
    <row r="139" spans="2:19" x14ac:dyDescent="0.2">
      <c r="B139" s="81" t="str">
        <f>'[1]Parameters List'!B139</f>
        <v>Ref. Rx Total Noise @ADCout (dBm/bin)</v>
      </c>
      <c r="C139" s="67">
        <f>10*LOG10(10 ^ (C$138 / 10) + 10 ^ (C$93 / 10))</f>
        <v>-23.588155550871285</v>
      </c>
      <c r="D139" s="67">
        <f>10*LOG10(10 ^ (D$138 / 10) + 10 ^ (D$93 / 10))</f>
        <v>-22.155432945098728</v>
      </c>
    </row>
    <row r="140" spans="2:19" x14ac:dyDescent="0.2">
      <c r="B140" s="81" t="str">
        <f>'[1]Parameters List'!B140</f>
        <v>1st Rx Phase Noise @ADCout (dBm/bin)</v>
      </c>
      <c r="C140" s="67">
        <f>C$136+$C$165+10*LOG10(1/(C$30*10^-3))+10*LOG10($C$175*10^6/($C$106*10^3))+C$95</f>
        <v>-3.6106868345127197</v>
      </c>
      <c r="D140" s="67">
        <f>D$136+$C$165+10*LOG10(1/(D$30*10^-3))+10*LOG10($C$175*10^6/($C$106*10^3))+D$95</f>
        <v>-6.1716210776699256</v>
      </c>
    </row>
    <row r="141" spans="2:19" x14ac:dyDescent="0.2">
      <c r="B141" s="81" t="str">
        <f>'[1]Parameters List'!B141</f>
        <v>1st Rx Total Noise @ADCout (dBm/bin)</v>
      </c>
      <c r="C141" s="67">
        <f>10*LOG10(10 ^ (C$140 / 10) + 10 ^ (C$92 / 10))</f>
        <v>-3.607415315866878</v>
      </c>
      <c r="D141" s="67">
        <f>10*LOG10(10 ^ (D$140 / 10) + 10 ^ (D$92 / 10))</f>
        <v>-6.1673376422750081</v>
      </c>
    </row>
    <row r="142" spans="2:19" x14ac:dyDescent="0.2">
      <c r="B142" s="81" t="str">
        <f>'[1]Parameters List'!B142</f>
        <v>Total Noise Power @ADCout (dBm/bin)</v>
      </c>
      <c r="C142" s="67">
        <f>10*LOG10((($C$155-1) * 10^(C$140/20) + 10^(C$138/20))^2*((C$34 - 10^(C$35/10))*(C$34&gt;1) + 1) ^ 2 + 10^(C$94/10))</f>
        <v>8.6457824288851484</v>
      </c>
      <c r="D142" s="67">
        <f>10*LOG10((($C$155-1) * 10^(D$140/20) + 10^(D$138/20))^2*((D$34 - 10^(D$35/10))*(D$34&gt;1) + 1) ^ 2 + 10^(D$94/10))</f>
        <v>6.2081054464318708</v>
      </c>
    </row>
    <row r="143" spans="2:19" x14ac:dyDescent="0.2">
      <c r="B143" s="79" t="str">
        <f>'[1]Parameters List'!B143</f>
        <v>SNR (dB)</v>
      </c>
      <c r="C143" s="70">
        <f>IF(C$134&lt;=0, C$133+C$96-C$94, C$133+C$96 -C$142)-C$97</f>
        <v>34.522802210888315</v>
      </c>
      <c r="D143" s="70">
        <f>IF(D$134&lt;=0, D$133+D$96-D$94, D$133+D$96 -D$142)-D$97</f>
        <v>24.991633727724622</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'[1]Parameters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'[1]Parameters List'!B146</f>
        <v>Ref Rx Noise @ADCout (dBm/bin)</v>
      </c>
      <c r="C146" s="70">
        <f>C$93-C$95</f>
        <v>-109.04607966301937</v>
      </c>
      <c r="D146" s="83">
        <f>D$93-D$95</f>
        <v>-90.796072705046299</v>
      </c>
      <c r="F146" s="43"/>
      <c r="G146" s="43"/>
      <c r="H146" s="43"/>
      <c r="I146" s="43"/>
      <c r="J146" s="43"/>
      <c r="K146" s="43"/>
      <c r="L146" s="43"/>
      <c r="M146" s="43"/>
      <c r="N146" s="43"/>
      <c r="O146" s="43"/>
      <c r="P146" s="43"/>
      <c r="Q146" s="43"/>
      <c r="R146" s="43"/>
      <c r="S146" s="43"/>
    </row>
    <row r="147" spans="2:19" x14ac:dyDescent="0.2">
      <c r="B147" s="82" t="str">
        <f>'[1]Parameters List'!B147</f>
        <v>1st Rx Noise @ADCout (dBm/bin)</v>
      </c>
      <c r="C147" s="70">
        <f>C$92-C$95</f>
        <v>-97.436079663019385</v>
      </c>
      <c r="D147" s="83">
        <f>D$92-D$95</f>
        <v>-80.5760727050463</v>
      </c>
    </row>
    <row r="148" spans="2:19" ht="15" thickBot="1" x14ac:dyDescent="0.25">
      <c r="B148" s="84" t="str">
        <f>'[1]Parameters List'!B148</f>
        <v>Beam Total Noise @ADCout (dBm/bin)</v>
      </c>
      <c r="C148" s="85">
        <f>C$94-C$95 - (10*LOG10(C$34) - C$35) * (C$34&gt;1)</f>
        <v>-91.341177169702149</v>
      </c>
      <c r="D148" s="86">
        <f>D$94-D$95 - (10*LOG10(D$34) - D$35) * (D$34&gt;1)</f>
        <v>-74.453469503274121</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'[1]Parameters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'[1]Parameters List'!B151</f>
        <v>Ref Rx Noise @ADCout (dBm/bin)</v>
      </c>
      <c r="C151" s="70">
        <f>C$139-C$95</f>
        <v>-86.184835127170288</v>
      </c>
      <c r="D151" s="83">
        <f>D$139-D$95</f>
        <v>-66.502105563424664</v>
      </c>
      <c r="F151" s="43"/>
      <c r="G151" s="43"/>
      <c r="H151" s="43"/>
      <c r="I151" s="43"/>
      <c r="J151" s="43"/>
      <c r="K151" s="43"/>
      <c r="L151" s="43"/>
      <c r="M151" s="43"/>
      <c r="N151" s="43"/>
      <c r="O151" s="43"/>
      <c r="P151" s="43"/>
      <c r="Q151" s="43"/>
      <c r="R151" s="43"/>
      <c r="S151" s="43"/>
    </row>
    <row r="152" spans="2:19" x14ac:dyDescent="0.2">
      <c r="B152" s="82" t="str">
        <f>'[1]Parameters List'!B152</f>
        <v>1st Rx Noise @ADCout (dBm/bin)</v>
      </c>
      <c r="C152" s="70">
        <f>C$141-C$95</f>
        <v>-66.20409489216587</v>
      </c>
      <c r="D152" s="83">
        <f>D$141-D$95</f>
        <v>-50.514010260600941</v>
      </c>
    </row>
    <row r="153" spans="2:19" ht="15" thickBot="1" x14ac:dyDescent="0.25">
      <c r="B153" s="84" t="str">
        <f>'[1]Parameters List'!B153</f>
        <v>Beam Total Noise @ADCout (dBm/bin)</v>
      </c>
      <c r="C153" s="85">
        <f>10*LOG10(10 ^ ((C$137 + C$96 - (20*LOG10(C$34) - 2*C$35) * (C$34&gt;1))/ 10) + 10 ^ ((C$94 - (10*LOG10(C$34) - C$35) * (C$34&gt;1)) / 10)) - C$95</f>
        <v>-53.950897147413855</v>
      </c>
      <c r="D153" s="86">
        <f>10*LOG10(10 ^ ((D$137 + D$96 - (20*LOG10(D$34) - 2*D$35) * (D$34&gt;1))/ 10) + 10 ^ ((D$94 - (10*LOG10(D$34) - D$35) * (D$34&gt;1)) / 10)) - D$95</f>
        <v>-34.262200959019317</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'[1]General System Parameters'!B9</f>
        <v># Rcvrs</v>
      </c>
      <c r="C155" s="33">
        <f>'[1]General System Parameters'!C9</f>
        <v>5</v>
      </c>
      <c r="F155" s="43"/>
      <c r="G155" s="43"/>
      <c r="H155" s="43"/>
      <c r="I155" s="43"/>
      <c r="J155" s="43"/>
      <c r="K155" s="43"/>
      <c r="L155" s="43"/>
      <c r="M155" s="43"/>
      <c r="N155" s="43"/>
      <c r="O155" s="43"/>
      <c r="P155" s="43"/>
      <c r="Q155" s="43"/>
      <c r="R155" s="43"/>
      <c r="S155" s="43"/>
    </row>
    <row r="156" spans="2:19" x14ac:dyDescent="0.2">
      <c r="B156" s="32" t="str">
        <f>'[1]General System Parameters'!B10</f>
        <v># Patches in 1st Rx</v>
      </c>
      <c r="C156" s="33">
        <f>'[1]General System Parameters'!C10</f>
        <v>10</v>
      </c>
      <c r="F156" s="43"/>
      <c r="G156" s="43"/>
      <c r="H156" s="43"/>
      <c r="I156" s="43"/>
      <c r="J156" s="43"/>
      <c r="K156" s="43"/>
      <c r="L156" s="43"/>
      <c r="M156" s="43"/>
      <c r="N156" s="43"/>
      <c r="O156" s="43"/>
      <c r="P156" s="43"/>
      <c r="Q156" s="43"/>
      <c r="R156" s="43"/>
      <c r="S156" s="43"/>
    </row>
    <row r="157" spans="2:19" x14ac:dyDescent="0.2">
      <c r="B157" s="32" t="str">
        <f>'[1]General System Parameters'!B11</f>
        <v># Patches in Ref (Guard) Rx</v>
      </c>
      <c r="C157" s="33">
        <f>'[1]General System Parameters'!C11</f>
        <v>1</v>
      </c>
      <c r="F157" s="43"/>
      <c r="G157" s="43"/>
      <c r="H157" s="43"/>
      <c r="I157" s="43"/>
      <c r="J157" s="43"/>
      <c r="K157" s="43"/>
      <c r="L157" s="43"/>
      <c r="M157" s="43"/>
      <c r="N157" s="43"/>
      <c r="O157" s="43"/>
      <c r="P157" s="43"/>
      <c r="Q157" s="43"/>
      <c r="R157" s="43"/>
      <c r="S157" s="43"/>
    </row>
    <row r="158" spans="2:19" x14ac:dyDescent="0.2">
      <c r="B158" s="32" t="str">
        <f>'[1]General System Parameters'!B12</f>
        <v>Typical System Gain (dB) - 1st Rx</v>
      </c>
      <c r="C158" s="33">
        <f>'[1]General System Parameters'!C12</f>
        <v>59.76</v>
      </c>
      <c r="F158" s="43"/>
      <c r="G158" s="43"/>
      <c r="H158" s="43"/>
      <c r="I158" s="43"/>
      <c r="J158" s="43"/>
      <c r="K158" s="43"/>
      <c r="L158" s="43"/>
      <c r="M158" s="43"/>
      <c r="N158" s="43"/>
      <c r="O158" s="43"/>
      <c r="P158" s="43"/>
      <c r="Q158" s="43"/>
      <c r="R158" s="43"/>
      <c r="S158" s="43"/>
    </row>
    <row r="159" spans="2:19" x14ac:dyDescent="0.2">
      <c r="B159" s="32" t="str">
        <f>'[1]General System Parameters'!B13</f>
        <v>Typical System Gain (dB) - Ref (Guard) Rx</v>
      </c>
      <c r="C159" s="33">
        <f>'[1]General System Parameters'!C13</f>
        <v>54.1</v>
      </c>
      <c r="F159" s="43"/>
      <c r="G159" s="43"/>
      <c r="H159" s="43"/>
      <c r="I159" s="43"/>
      <c r="J159" s="43"/>
      <c r="K159" s="43"/>
      <c r="L159" s="43"/>
      <c r="M159" s="43"/>
      <c r="N159" s="43"/>
      <c r="O159" s="43"/>
      <c r="P159" s="43"/>
      <c r="Q159" s="43"/>
      <c r="R159" s="43"/>
      <c r="S159" s="43"/>
    </row>
    <row r="160" spans="2:19" x14ac:dyDescent="0.2">
      <c r="B160" s="32" t="str">
        <f>'[1]General System Parameters'!B14</f>
        <v>Typical 1st Rx Calibration (dB)</v>
      </c>
      <c r="C160" s="33">
        <f>'[1]General System Parameters'!C14</f>
        <v>4.3400000000000105</v>
      </c>
      <c r="F160" s="43"/>
      <c r="G160" s="43"/>
      <c r="H160" s="43"/>
      <c r="I160" s="43"/>
      <c r="J160" s="43"/>
      <c r="K160" s="43"/>
      <c r="L160" s="43"/>
      <c r="M160" s="43"/>
      <c r="N160" s="43"/>
      <c r="O160" s="43"/>
      <c r="P160" s="43"/>
      <c r="Q160" s="43"/>
      <c r="R160" s="43"/>
      <c r="S160" s="43"/>
    </row>
    <row r="161" spans="2:19" x14ac:dyDescent="0.2">
      <c r="B161" s="32" t="str">
        <f>'[1]General System Parameters'!B15</f>
        <v>System Propagation Delay (us)</v>
      </c>
      <c r="C161" s="33">
        <f>'[1]General System Parameters'!C15</f>
        <v>0.15</v>
      </c>
      <c r="F161" s="43"/>
      <c r="G161" s="43"/>
      <c r="H161" s="43"/>
      <c r="I161" s="43"/>
      <c r="J161" s="43"/>
      <c r="K161" s="43"/>
      <c r="L161" s="43"/>
      <c r="M161" s="43"/>
      <c r="N161" s="43"/>
      <c r="O161" s="43"/>
      <c r="P161" s="43"/>
      <c r="Q161" s="43"/>
      <c r="R161" s="43"/>
      <c r="S161" s="43"/>
    </row>
    <row r="162" spans="2:19" x14ac:dyDescent="0.2">
      <c r="B162" s="32" t="str">
        <f>'[1]General System Parameters'!B16</f>
        <v>c (m/s)</v>
      </c>
      <c r="C162" s="33">
        <f>'[1]General System Parameters'!C16</f>
        <v>299792458</v>
      </c>
      <c r="F162" s="43"/>
      <c r="G162" s="43"/>
      <c r="H162" s="43"/>
      <c r="I162" s="43"/>
      <c r="J162" s="43"/>
      <c r="K162" s="43"/>
      <c r="L162" s="43"/>
      <c r="M162" s="43"/>
      <c r="N162" s="43"/>
      <c r="O162" s="43"/>
      <c r="P162" s="43"/>
      <c r="Q162" s="43"/>
      <c r="R162" s="43"/>
      <c r="S162" s="43"/>
    </row>
    <row r="163" spans="2:19" x14ac:dyDescent="0.2">
      <c r="B163" s="32" t="str">
        <f>'[1]General System Parameters'!B17</f>
        <v>c/2 (m/μs)</v>
      </c>
      <c r="C163" s="33">
        <f>'[1]General System Parameters'!C17</f>
        <v>149.89622900000001</v>
      </c>
      <c r="F163" s="43"/>
      <c r="G163" s="43"/>
      <c r="H163" s="43"/>
      <c r="I163" s="43"/>
      <c r="J163" s="43"/>
      <c r="K163" s="43"/>
      <c r="L163" s="43"/>
      <c r="M163" s="43"/>
      <c r="N163" s="43"/>
      <c r="O163" s="43"/>
      <c r="P163" s="43"/>
      <c r="Q163" s="43"/>
      <c r="R163" s="43"/>
      <c r="S163" s="43"/>
    </row>
    <row r="164" spans="2:19" x14ac:dyDescent="0.2">
      <c r="B164" s="30" t="str">
        <f>'[1]General System Parameters'!B18</f>
        <v>Freq (GHz)</v>
      </c>
      <c r="C164" s="31">
        <f>'[1]General System Parameters'!C18</f>
        <v>3.5</v>
      </c>
      <c r="F164" s="43"/>
      <c r="G164" s="43"/>
      <c r="H164" s="43"/>
      <c r="I164" s="43"/>
      <c r="J164" s="43"/>
      <c r="K164" s="43"/>
      <c r="L164" s="43"/>
      <c r="M164" s="43"/>
      <c r="N164" s="43"/>
      <c r="O164" s="43"/>
      <c r="P164" s="43"/>
      <c r="Q164" s="43"/>
      <c r="R164" s="43"/>
      <c r="S164" s="43"/>
    </row>
    <row r="165" spans="2:19" x14ac:dyDescent="0.2">
      <c r="B165" s="30" t="str">
        <f>'[1]General System Parameters'!B19</f>
        <v>Phase Noise Level (dBc/Hz)</v>
      </c>
      <c r="C165" s="31">
        <f>'[1]General System Parameters'!C19</f>
        <v>-125</v>
      </c>
      <c r="F165" s="43"/>
      <c r="G165" s="43"/>
      <c r="H165" s="43"/>
      <c r="I165" s="43"/>
      <c r="J165" s="43"/>
      <c r="K165" s="43"/>
      <c r="L165" s="43"/>
      <c r="M165" s="43"/>
      <c r="N165" s="43"/>
      <c r="O165" s="43"/>
      <c r="P165" s="43"/>
      <c r="Q165" s="43"/>
      <c r="R165" s="43"/>
      <c r="S165" s="43"/>
    </row>
    <row r="166" spans="2:19" x14ac:dyDescent="0.2">
      <c r="B166" s="30" t="str">
        <f>'[1]General System Parameters'!B20</f>
        <v>Polarization Loss (dB)</v>
      </c>
      <c r="C166" s="31">
        <f>'[1]General System Parameters'!C20</f>
        <v>0</v>
      </c>
      <c r="F166" s="43"/>
      <c r="G166" s="43"/>
      <c r="H166" s="43"/>
      <c r="I166" s="43"/>
      <c r="J166" s="43"/>
      <c r="K166" s="43"/>
      <c r="L166" s="43"/>
      <c r="M166" s="43"/>
      <c r="N166" s="43"/>
      <c r="O166" s="43"/>
      <c r="P166" s="43"/>
      <c r="Q166" s="43"/>
      <c r="R166" s="43"/>
      <c r="S166" s="43"/>
    </row>
    <row r="167" spans="2:19" x14ac:dyDescent="0.2">
      <c r="B167" s="34" t="str">
        <f>'[1]General System Parameters'!B21</f>
        <v>λ (m)</v>
      </c>
      <c r="C167" s="35">
        <f>'[1]General System Parameters'!C21</f>
        <v>8.5654988000000001E-2</v>
      </c>
      <c r="F167" s="43"/>
      <c r="G167" s="43"/>
      <c r="H167" s="43"/>
      <c r="I167" s="43"/>
      <c r="J167" s="43"/>
      <c r="K167" s="43"/>
      <c r="L167" s="43"/>
      <c r="M167" s="43"/>
      <c r="N167" s="43"/>
      <c r="O167" s="43"/>
      <c r="P167" s="43"/>
      <c r="Q167" s="43"/>
      <c r="R167" s="43"/>
      <c r="S167" s="43"/>
    </row>
    <row r="168" spans="2:19" x14ac:dyDescent="0.2">
      <c r="B168" s="34" t="str">
        <f>'[1]General System Parameters'!B22</f>
        <v>Doppler factor (Hz/(m/sec))</v>
      </c>
      <c r="C168" s="35">
        <f>'[1]General System Parameters'!C22</f>
        <v>23.349486663870643</v>
      </c>
      <c r="F168" s="43"/>
      <c r="G168" s="43"/>
      <c r="H168" s="43"/>
      <c r="I168" s="43"/>
      <c r="J168" s="43"/>
      <c r="K168" s="43"/>
      <c r="L168" s="43"/>
      <c r="M168" s="43"/>
      <c r="N168" s="43"/>
      <c r="O168" s="43"/>
      <c r="P168" s="43"/>
      <c r="Q168" s="43"/>
      <c r="R168" s="43"/>
      <c r="S168" s="43"/>
    </row>
    <row r="169" spans="2:19" x14ac:dyDescent="0.2">
      <c r="B169" s="36" t="str">
        <f>'[1]General System Parameters'!B23</f>
        <v>ALC</v>
      </c>
      <c r="C169" s="31">
        <f>'[1]General System Parameters'!C23</f>
        <v>0</v>
      </c>
      <c r="F169" s="43"/>
      <c r="G169" s="43"/>
      <c r="H169" s="43"/>
      <c r="I169" s="43"/>
      <c r="J169" s="43"/>
      <c r="K169" s="43"/>
      <c r="L169" s="43"/>
      <c r="M169" s="43"/>
      <c r="N169" s="43"/>
      <c r="O169" s="43"/>
      <c r="P169" s="43"/>
      <c r="Q169" s="43"/>
      <c r="R169" s="43"/>
      <c r="S169" s="43"/>
    </row>
    <row r="170" spans="2:19" x14ac:dyDescent="0.2">
      <c r="B170" s="36" t="str">
        <f>'[1]General System Parameters'!B24</f>
        <v>Actual System Gain (dB) - 1st Rx</v>
      </c>
      <c r="C170" s="31">
        <f>'[1]General System Parameters'!C24</f>
        <v>60</v>
      </c>
      <c r="F170" s="43"/>
      <c r="G170" s="43"/>
      <c r="H170" s="43"/>
      <c r="I170" s="43"/>
      <c r="J170" s="43"/>
      <c r="K170" s="43"/>
      <c r="L170" s="43"/>
      <c r="M170" s="43"/>
      <c r="N170" s="43"/>
      <c r="O170" s="43"/>
      <c r="P170" s="43"/>
      <c r="Q170" s="43"/>
      <c r="R170" s="43"/>
      <c r="S170" s="43"/>
    </row>
    <row r="171" spans="2:19" x14ac:dyDescent="0.2">
      <c r="B171" s="36" t="str">
        <f>'[1]General System Parameters'!B25</f>
        <v>Actual System Gain (dB) - Ref Rx</v>
      </c>
      <c r="C171" s="31">
        <f>'[1]General System Parameters'!C25</f>
        <v>54</v>
      </c>
      <c r="F171" s="43"/>
      <c r="G171" s="43"/>
      <c r="H171" s="43"/>
      <c r="I171" s="43"/>
      <c r="J171" s="43"/>
      <c r="K171" s="43"/>
      <c r="L171" s="43"/>
      <c r="M171" s="43"/>
      <c r="N171" s="43"/>
      <c r="O171" s="43"/>
      <c r="P171" s="43"/>
      <c r="Q171" s="43"/>
      <c r="R171" s="43"/>
      <c r="S171" s="43"/>
    </row>
    <row r="172" spans="2:19" x14ac:dyDescent="0.2">
      <c r="B172" s="34" t="str">
        <f>'[1]General System Parameters'!B26</f>
        <v>Actual 1st Rx Calibration (dB)</v>
      </c>
      <c r="C172" s="35">
        <f>'[1]General System Parameters'!C26</f>
        <v>4</v>
      </c>
      <c r="F172" s="43"/>
      <c r="G172" s="43"/>
      <c r="H172" s="43"/>
      <c r="I172" s="43"/>
      <c r="J172" s="43"/>
      <c r="K172" s="43"/>
      <c r="L172" s="43"/>
      <c r="M172" s="43"/>
      <c r="N172" s="43"/>
      <c r="O172" s="43"/>
      <c r="P172" s="43"/>
      <c r="Q172" s="43"/>
      <c r="R172" s="43"/>
      <c r="S172" s="43"/>
    </row>
    <row r="173" spans="2:19" x14ac:dyDescent="0.2">
      <c r="B173" s="32" t="str">
        <f>'[1]General System Parameters'!B27</f>
        <v>KT (dBm/Hz)</v>
      </c>
      <c r="C173" s="33">
        <f>'[1]General System Parameters'!C27</f>
        <v>-174</v>
      </c>
      <c r="F173" s="43"/>
      <c r="G173" s="43"/>
      <c r="H173" s="43"/>
      <c r="I173" s="43"/>
      <c r="J173" s="43"/>
      <c r="K173" s="43"/>
      <c r="L173" s="43"/>
      <c r="M173" s="43"/>
      <c r="N173" s="43"/>
      <c r="O173" s="43"/>
      <c r="P173" s="43"/>
      <c r="Q173" s="43"/>
      <c r="R173" s="43"/>
      <c r="S173" s="43"/>
    </row>
    <row r="174" spans="2:19" x14ac:dyDescent="0.2">
      <c r="B174" s="32" t="str">
        <f>'[1]General System Parameters'!B28</f>
        <v>Sample Period (us)</v>
      </c>
      <c r="C174" s="33">
        <f>'[1]General System Parameters'!C28</f>
        <v>1.2500000000000001E-2</v>
      </c>
      <c r="F174" s="43"/>
      <c r="G174" s="43"/>
      <c r="H174" s="43"/>
      <c r="I174" s="43"/>
      <c r="J174" s="43"/>
      <c r="K174" s="43"/>
      <c r="L174" s="43"/>
      <c r="M174" s="43"/>
      <c r="N174" s="43"/>
      <c r="O174" s="43"/>
      <c r="P174" s="43"/>
      <c r="Q174" s="43"/>
      <c r="R174" s="43"/>
      <c r="S174" s="43"/>
    </row>
    <row r="175" spans="2:19" x14ac:dyDescent="0.2">
      <c r="B175" s="37" t="str">
        <f>'[1]General System Parameters'!B29</f>
        <v>ADC Bandwidth (MHz)</v>
      </c>
      <c r="C175" s="35">
        <f>'[1]General System Parameters'!C29</f>
        <v>40</v>
      </c>
      <c r="F175" s="43"/>
      <c r="G175" s="43"/>
      <c r="H175" s="43"/>
      <c r="I175" s="43"/>
      <c r="J175" s="43"/>
      <c r="K175" s="43"/>
      <c r="L175" s="43"/>
      <c r="M175" s="43"/>
      <c r="N175" s="43"/>
      <c r="O175" s="43"/>
      <c r="P175" s="43"/>
      <c r="Q175" s="43"/>
      <c r="R175" s="43"/>
      <c r="S175" s="43"/>
    </row>
    <row r="176" spans="2:19" x14ac:dyDescent="0.2">
      <c r="B176" s="32" t="str">
        <f>'[1]General System Parameters'!B30</f>
        <v>ADC Noise Level (dBm)</v>
      </c>
      <c r="C176" s="33">
        <f>'[1]General System Parameters'!C30</f>
        <v>-65</v>
      </c>
      <c r="F176" s="43"/>
      <c r="G176" s="43"/>
      <c r="H176" s="43"/>
      <c r="I176" s="43"/>
      <c r="J176" s="43"/>
      <c r="K176" s="43"/>
      <c r="L176" s="43"/>
      <c r="M176" s="43"/>
      <c r="N176" s="43"/>
      <c r="O176" s="43"/>
      <c r="P176" s="43"/>
      <c r="Q176" s="43"/>
      <c r="R176" s="43"/>
      <c r="S176" s="43"/>
    </row>
    <row r="177" spans="2:19" x14ac:dyDescent="0.2">
      <c r="B177" s="32" t="str">
        <f>'[1]General System Parameters'!B31</f>
        <v>Tapering Signal Gain Loss (dB) - 1st Rx</v>
      </c>
      <c r="C177" s="33">
        <f>'[1]General System Parameters'!C31</f>
        <v>3.51</v>
      </c>
      <c r="F177" s="43"/>
      <c r="G177" s="43"/>
      <c r="H177" s="43"/>
      <c r="I177" s="43"/>
      <c r="J177" s="43"/>
      <c r="K177" s="43"/>
      <c r="L177" s="43"/>
      <c r="M177" s="43"/>
      <c r="N177" s="43"/>
      <c r="O177" s="43"/>
      <c r="P177" s="43"/>
      <c r="Q177" s="43"/>
      <c r="R177" s="43"/>
      <c r="S177" s="43"/>
    </row>
    <row r="178" spans="2:19" x14ac:dyDescent="0.2">
      <c r="B178" s="32" t="str">
        <f>'[1]General System Parameters'!B32</f>
        <v>Tapering Noise Gain Loss (dB) - 1st Rx</v>
      </c>
      <c r="C178" s="33">
        <f>'[1]General System Parameters'!C32</f>
        <v>3.1337000000000002</v>
      </c>
      <c r="F178" s="43"/>
      <c r="G178" s="43"/>
      <c r="H178" s="43"/>
      <c r="I178" s="43"/>
      <c r="J178" s="43"/>
      <c r="K178" s="43"/>
      <c r="L178" s="43"/>
      <c r="M178" s="43"/>
      <c r="N178" s="43"/>
      <c r="O178" s="43"/>
      <c r="P178" s="43"/>
      <c r="Q178" s="43"/>
      <c r="R178" s="43"/>
      <c r="S178" s="43"/>
    </row>
    <row r="179" spans="2:19" x14ac:dyDescent="0.2">
      <c r="B179" s="32" t="str">
        <f>'[1]General System Parameters'!B33</f>
        <v>Tapering Signal Gain Loss (dB) - Ref (Guard) Rx</v>
      </c>
      <c r="C179" s="33">
        <f>'[1]General System Parameters'!C33</f>
        <v>0</v>
      </c>
      <c r="F179" s="43"/>
      <c r="G179" s="43"/>
      <c r="H179" s="43"/>
      <c r="I179" s="43"/>
      <c r="J179" s="43"/>
      <c r="K179" s="43"/>
      <c r="L179" s="43"/>
      <c r="M179" s="43"/>
      <c r="N179" s="43"/>
      <c r="O179" s="43"/>
      <c r="P179" s="43"/>
      <c r="Q179" s="43"/>
      <c r="R179" s="43"/>
      <c r="S179" s="43"/>
    </row>
    <row r="180" spans="2:19" x14ac:dyDescent="0.2">
      <c r="B180" s="32" t="str">
        <f>'[1]General System Parameters'!B34</f>
        <v>Tapering Noise Gain Loss (dB) - Ref (Guard) Rx</v>
      </c>
      <c r="C180" s="33">
        <f>'[1]General System Parameters'!C34</f>
        <v>0</v>
      </c>
      <c r="F180" s="43"/>
      <c r="G180" s="43"/>
      <c r="H180" s="43"/>
      <c r="I180" s="43"/>
      <c r="J180" s="43"/>
      <c r="K180" s="43"/>
      <c r="L180" s="43"/>
      <c r="M180" s="43"/>
      <c r="N180" s="43"/>
      <c r="O180" s="43"/>
      <c r="P180" s="43"/>
      <c r="Q180" s="43"/>
      <c r="R180" s="43"/>
      <c r="S180" s="43"/>
    </row>
    <row r="181" spans="2:19" x14ac:dyDescent="0.2">
      <c r="B181" s="37" t="str">
        <f>'[1]General System Parameters'!B35</f>
        <v>Tapering Rx Loss (dB)</v>
      </c>
      <c r="C181" s="35">
        <f>'[1]General System Parameters'!C35</f>
        <v>0.37629999999999963</v>
      </c>
      <c r="F181" s="43"/>
      <c r="G181" s="43"/>
      <c r="H181" s="43"/>
      <c r="I181" s="43"/>
      <c r="J181" s="43"/>
      <c r="K181" s="43"/>
      <c r="L181" s="43"/>
      <c r="M181" s="43"/>
      <c r="N181" s="43"/>
      <c r="O181" s="43"/>
      <c r="P181" s="43"/>
      <c r="Q181" s="43"/>
      <c r="R181" s="43"/>
      <c r="S181" s="43"/>
    </row>
    <row r="182" spans="2:19" x14ac:dyDescent="0.2">
      <c r="B182" s="30" t="str">
        <f>'[1]General System Parameters'!B36</f>
        <v>Number of T/R modules</v>
      </c>
      <c r="C182" s="31">
        <f>'[1]General System Parameters'!C36</f>
        <v>41</v>
      </c>
      <c r="F182" s="43"/>
      <c r="G182" s="43"/>
      <c r="H182" s="43"/>
      <c r="I182" s="43"/>
      <c r="J182" s="43"/>
      <c r="K182" s="43"/>
      <c r="L182" s="43"/>
      <c r="M182" s="43"/>
      <c r="N182" s="43"/>
      <c r="O182" s="43"/>
      <c r="P182" s="43"/>
      <c r="Q182" s="43"/>
      <c r="R182" s="43"/>
      <c r="S182" s="43"/>
    </row>
    <row r="183" spans="2:19" x14ac:dyDescent="0.2">
      <c r="B183" s="30" t="str">
        <f>'[1]General System Parameters'!B37</f>
        <v>Power per T/R module</v>
      </c>
      <c r="C183" s="31">
        <f>'[1]General System Parameters'!C37</f>
        <v>10</v>
      </c>
      <c r="F183" s="43"/>
      <c r="G183" s="43"/>
      <c r="H183" s="43"/>
      <c r="I183" s="43"/>
      <c r="J183" s="43"/>
      <c r="K183" s="43"/>
      <c r="L183" s="43"/>
      <c r="M183" s="43"/>
      <c r="N183" s="43"/>
      <c r="O183" s="43"/>
      <c r="P183" s="43"/>
      <c r="Q183" s="43"/>
      <c r="R183" s="43"/>
      <c r="S183" s="43"/>
    </row>
    <row r="184" spans="2:19" x14ac:dyDescent="0.2">
      <c r="B184" s="30" t="str">
        <f>'[1]General System Parameters'!B38</f>
        <v>Gain per T/R module [dB]</v>
      </c>
      <c r="C184" s="31">
        <f>'[1]General System Parameters'!C38</f>
        <v>5</v>
      </c>
      <c r="F184" s="43"/>
      <c r="G184" s="43"/>
      <c r="H184" s="43"/>
      <c r="I184" s="43"/>
      <c r="J184" s="43"/>
      <c r="K184" s="43"/>
      <c r="L184" s="43"/>
      <c r="M184" s="43"/>
      <c r="N184" s="43"/>
      <c r="O184" s="43"/>
      <c r="P184" s="43"/>
      <c r="Q184" s="43"/>
      <c r="R184" s="43"/>
      <c r="S184" s="43"/>
    </row>
    <row r="185" spans="2:19" x14ac:dyDescent="0.2">
      <c r="B185" s="37" t="str">
        <f>'[1]General System Parameters'!B39</f>
        <v>Available Power (dBm)</v>
      </c>
      <c r="C185" s="35">
        <f>'[1]General System Parameters'!C39</f>
        <v>56.127838567197358</v>
      </c>
      <c r="F185" s="43"/>
      <c r="G185" s="43"/>
      <c r="H185" s="43"/>
      <c r="I185" s="43"/>
      <c r="J185" s="43"/>
      <c r="K185" s="43"/>
      <c r="L185" s="43"/>
      <c r="M185" s="43"/>
      <c r="N185" s="43"/>
      <c r="O185" s="43"/>
      <c r="P185" s="43"/>
      <c r="Q185" s="43"/>
      <c r="R185" s="43"/>
      <c r="S185" s="43"/>
    </row>
    <row r="186" spans="2:19" x14ac:dyDescent="0.2">
      <c r="B186" s="37" t="str">
        <f>'[1]General System Parameters'!B40</f>
        <v>Gt,Gr</v>
      </c>
      <c r="C186" s="35">
        <f>'[1]General System Parameters'!C40</f>
        <v>21.127838567197355</v>
      </c>
      <c r="F186" s="43"/>
      <c r="G186" s="43"/>
      <c r="H186" s="43"/>
      <c r="I186" s="43"/>
      <c r="J186" s="43"/>
      <c r="K186" s="43"/>
      <c r="L186" s="43"/>
      <c r="M186" s="43"/>
      <c r="N186" s="43"/>
      <c r="O186" s="43"/>
      <c r="P186" s="43"/>
      <c r="Q186" s="43"/>
      <c r="R186" s="43"/>
      <c r="S186" s="43"/>
    </row>
    <row r="187" spans="2:19" x14ac:dyDescent="0.2">
      <c r="B187" s="37" t="str">
        <f>'[1]General System Parameters'!B41</f>
        <v>Gr - 1st Rx</v>
      </c>
      <c r="C187" s="35">
        <f>'[1]General System Parameters'!C41</f>
        <v>15</v>
      </c>
      <c r="F187" s="43"/>
      <c r="G187" s="43"/>
      <c r="H187" s="43"/>
      <c r="I187" s="43"/>
      <c r="J187" s="43"/>
      <c r="K187" s="43"/>
      <c r="L187" s="43"/>
      <c r="M187" s="43"/>
      <c r="N187" s="43"/>
      <c r="O187" s="43"/>
      <c r="P187" s="43"/>
      <c r="Q187" s="43"/>
      <c r="R187" s="43"/>
      <c r="S187" s="43"/>
    </row>
    <row r="188" spans="2:19" x14ac:dyDescent="0.2">
      <c r="B188" s="37" t="str">
        <f>'[1]General System Parameters'!B42</f>
        <v>Gr - Ref (Guard) Rx</v>
      </c>
      <c r="C188" s="35">
        <f>'[1]General System Parameters'!C42</f>
        <v>5</v>
      </c>
      <c r="F188" s="43"/>
      <c r="G188" s="43"/>
      <c r="H188" s="43"/>
      <c r="I188" s="43"/>
      <c r="J188" s="43"/>
      <c r="K188" s="43"/>
      <c r="L188" s="43"/>
      <c r="M188" s="43"/>
      <c r="N188" s="43"/>
      <c r="O188" s="43"/>
      <c r="P188" s="43"/>
      <c r="Q188" s="43"/>
      <c r="R188" s="43"/>
      <c r="S188" s="43"/>
    </row>
    <row r="189" spans="2:19" x14ac:dyDescent="0.2">
      <c r="B189" s="37" t="str">
        <f>'[1]General System Parameters'!B43</f>
        <v>λ2 (dB/m2)</v>
      </c>
      <c r="C189" s="35">
        <f>'[1]General System Parameters'!C43</f>
        <v>-21.344946828446961</v>
      </c>
      <c r="F189" s="43"/>
      <c r="G189" s="43"/>
      <c r="H189" s="43"/>
      <c r="I189" s="43"/>
      <c r="J189" s="43"/>
      <c r="K189" s="43"/>
      <c r="L189" s="43"/>
      <c r="M189" s="43"/>
      <c r="N189" s="43"/>
      <c r="O189" s="43"/>
      <c r="P189" s="43"/>
      <c r="Q189" s="43"/>
      <c r="R189" s="43"/>
      <c r="S189" s="43"/>
    </row>
    <row r="190" spans="2:19" x14ac:dyDescent="0.2">
      <c r="B190" s="34" t="str">
        <f>'[1]General System Parameters'!B44</f>
        <v>(4p)^3 (dB)</v>
      </c>
      <c r="C190" s="35">
        <f>'[1]General System Parameters'!C44</f>
        <v>32.976295920662885</v>
      </c>
      <c r="F190" s="43"/>
      <c r="G190" s="43"/>
      <c r="H190" s="43"/>
      <c r="I190" s="43"/>
      <c r="J190" s="43"/>
      <c r="K190" s="43"/>
      <c r="L190" s="43"/>
      <c r="M190" s="43"/>
      <c r="N190" s="43"/>
      <c r="O190" s="43"/>
      <c r="P190" s="43"/>
      <c r="Q190" s="43"/>
      <c r="R190" s="43"/>
      <c r="S190" s="43"/>
    </row>
    <row r="191" spans="2:19" x14ac:dyDescent="0.2">
      <c r="B191" s="34" t="str">
        <f>'[1]General System Parameters'!B45</f>
        <v>Miscellaneous Losses (dB)</v>
      </c>
      <c r="C191" s="35">
        <f>'[1]General System Parameters'!C45</f>
        <v>0</v>
      </c>
      <c r="F191" s="43"/>
      <c r="G191" s="43"/>
      <c r="H191" s="43"/>
      <c r="I191" s="43"/>
      <c r="J191" s="43"/>
      <c r="K191" s="43"/>
      <c r="L191" s="43"/>
      <c r="M191" s="43"/>
      <c r="N191" s="43"/>
      <c r="O191" s="43"/>
      <c r="P191" s="43"/>
      <c r="Q191" s="43"/>
      <c r="R191" s="43"/>
      <c r="S191" s="43"/>
    </row>
    <row r="192" spans="2:19" x14ac:dyDescent="0.2">
      <c r="B192" s="36" t="str">
        <f>'[1]General System Parameters'!B46</f>
        <v>FFT Window: BH</v>
      </c>
      <c r="C192" s="31" t="str">
        <f>'[1]General System Parameters'!C46</f>
        <v>BH</v>
      </c>
      <c r="F192" s="43"/>
      <c r="G192" s="43"/>
      <c r="H192" s="43"/>
      <c r="I192" s="43"/>
      <c r="J192" s="43"/>
      <c r="K192" s="43"/>
      <c r="L192" s="43"/>
      <c r="M192" s="43"/>
      <c r="N192" s="43"/>
      <c r="O192" s="43"/>
      <c r="P192" s="43"/>
      <c r="Q192" s="43"/>
      <c r="R192" s="43"/>
      <c r="S192" s="43"/>
    </row>
    <row r="193" spans="2:19" x14ac:dyDescent="0.2">
      <c r="B193" s="34" t="str">
        <f>'[1]General System Parameters'!B47</f>
        <v>Signal Gain Loss (dB)</v>
      </c>
      <c r="C193" s="35">
        <f>'[1]General System Parameters'!C47</f>
        <v>8.9499999999999993</v>
      </c>
      <c r="F193" s="43"/>
      <c r="G193" s="43"/>
      <c r="H193" s="43"/>
      <c r="I193" s="43"/>
      <c r="J193" s="43"/>
      <c r="K193" s="43"/>
      <c r="L193" s="43"/>
      <c r="M193" s="43"/>
      <c r="N193" s="43"/>
      <c r="O193" s="43"/>
      <c r="P193" s="43"/>
      <c r="Q193" s="43"/>
      <c r="R193" s="43"/>
      <c r="S193" s="43"/>
    </row>
    <row r="194" spans="2:19" x14ac:dyDescent="0.2">
      <c r="B194" s="34" t="str">
        <f>'[1]General System Parameters'!B48</f>
        <v>Noise Gain Loss (dB)</v>
      </c>
      <c r="C194" s="35">
        <f>'[1]General System Parameters'!C48</f>
        <v>5.9</v>
      </c>
      <c r="F194" s="43"/>
      <c r="G194" s="43"/>
      <c r="H194" s="43"/>
      <c r="I194" s="43"/>
      <c r="J194" s="43"/>
      <c r="K194" s="43"/>
      <c r="L194" s="43"/>
      <c r="M194" s="43"/>
      <c r="N194" s="43"/>
      <c r="O194" s="43"/>
      <c r="P194" s="43"/>
      <c r="Q194" s="43"/>
      <c r="R194" s="43"/>
      <c r="S194" s="43"/>
    </row>
    <row r="195" spans="2:19" x14ac:dyDescent="0.2">
      <c r="B195" s="34" t="str">
        <f>'[1]General System Parameters'!B49</f>
        <v>Normalized ENBW (dB)</v>
      </c>
      <c r="C195" s="35">
        <f>'[1]General System Parameters'!C49</f>
        <v>3.0499999999999989</v>
      </c>
      <c r="F195" s="43"/>
      <c r="G195" s="43"/>
      <c r="H195" s="43"/>
      <c r="I195" s="43"/>
      <c r="J195" s="43"/>
      <c r="K195" s="43"/>
      <c r="L195" s="43"/>
      <c r="M195" s="43"/>
      <c r="N195" s="43"/>
      <c r="O195" s="43"/>
      <c r="P195" s="43"/>
      <c r="Q195" s="43"/>
      <c r="R195" s="43"/>
      <c r="S195" s="43"/>
    </row>
    <row r="196" spans="2:19" x14ac:dyDescent="0.2">
      <c r="B196" s="34" t="str">
        <f>'[1]General System Parameters'!B50</f>
        <v>Window 3dB BW (bins)</v>
      </c>
      <c r="C196" s="35">
        <f>'[1]General System Parameters'!C50</f>
        <v>1.9</v>
      </c>
      <c r="F196" s="43"/>
      <c r="G196" s="43"/>
      <c r="H196" s="43"/>
      <c r="I196" s="43"/>
      <c r="J196" s="43"/>
      <c r="K196" s="43"/>
      <c r="L196" s="43"/>
      <c r="M196" s="43"/>
      <c r="N196" s="43"/>
      <c r="O196" s="43"/>
      <c r="P196" s="43"/>
      <c r="Q196" s="43"/>
      <c r="R196" s="43"/>
      <c r="S196" s="43"/>
    </row>
    <row r="197" spans="2:19" x14ac:dyDescent="0.2">
      <c r="B197" s="34" t="str">
        <f>'[1]General System Parameters'!B51</f>
        <v>Window 6dB BW (bins)</v>
      </c>
      <c r="C197" s="35">
        <f>'[1]General System Parameters'!C51</f>
        <v>2.72</v>
      </c>
      <c r="F197" s="43"/>
      <c r="G197" s="43"/>
      <c r="H197" s="43"/>
      <c r="I197" s="43"/>
      <c r="J197" s="43"/>
      <c r="K197" s="43"/>
      <c r="L197" s="43"/>
      <c r="M197" s="43"/>
      <c r="N197" s="43"/>
      <c r="O197" s="43"/>
      <c r="P197" s="43"/>
      <c r="Q197" s="43"/>
      <c r="R197" s="43"/>
      <c r="S197" s="43"/>
    </row>
    <row r="198" spans="2:19" x14ac:dyDescent="0.2">
      <c r="B198" s="34" t="str">
        <f>'[1]General System Parameters'!B52</f>
        <v>Scallop Loss (dB)</v>
      </c>
      <c r="C198" s="35">
        <f>'[1]General System Parameters'!C52</f>
        <v>0.41278500000000001</v>
      </c>
      <c r="F198" s="43"/>
      <c r="G198" s="43"/>
      <c r="H198" s="43"/>
      <c r="I198" s="43"/>
      <c r="J198" s="43"/>
      <c r="K198" s="43"/>
      <c r="L198" s="43"/>
      <c r="M198" s="43"/>
      <c r="N198" s="43"/>
      <c r="O198" s="43"/>
      <c r="P198" s="43"/>
      <c r="Q198" s="43"/>
      <c r="R198" s="43"/>
      <c r="S198" s="43"/>
    </row>
    <row r="199" spans="2:19" x14ac:dyDescent="0.2">
      <c r="B199" s="32" t="str">
        <f>'[1]General System Parameters'!B53</f>
        <v>Rectangular 6dB BW (bins)</v>
      </c>
      <c r="C199" s="33">
        <f>'[1]General System Parameters'!C53</f>
        <v>1.21</v>
      </c>
      <c r="F199" s="43"/>
      <c r="G199" s="43"/>
      <c r="H199" s="43"/>
      <c r="I199" s="43"/>
      <c r="J199" s="43"/>
      <c r="K199" s="43"/>
      <c r="L199" s="43"/>
      <c r="M199" s="43"/>
      <c r="N199" s="43"/>
      <c r="O199" s="43"/>
      <c r="P199" s="43"/>
      <c r="Q199" s="43"/>
      <c r="R199" s="43"/>
      <c r="S199" s="43"/>
    </row>
    <row r="200" spans="2:19" x14ac:dyDescent="0.2">
      <c r="B200" s="34" t="str">
        <f>'[1]General System Parameters'!B54</f>
        <v>Window Peak Spreading (bins)</v>
      </c>
      <c r="C200" s="35">
        <f>'[1]General System Parameters'!C54</f>
        <v>9</v>
      </c>
      <c r="F200" s="43"/>
      <c r="G200" s="43"/>
      <c r="H200" s="43"/>
      <c r="I200" s="43"/>
      <c r="J200" s="43"/>
      <c r="K200" s="43"/>
      <c r="L200" s="43"/>
      <c r="M200" s="43"/>
      <c r="N200" s="43"/>
      <c r="O200" s="43"/>
      <c r="P200" s="43"/>
      <c r="Q200" s="43"/>
      <c r="R200" s="43"/>
      <c r="S200" s="43"/>
    </row>
    <row r="201" spans="2:19" x14ac:dyDescent="0.2">
      <c r="B201" s="36" t="str">
        <f>'[1]General System Parameters'!B55</f>
        <v>#samples for noise estimation</v>
      </c>
      <c r="C201" s="31">
        <f>'[1]General System Parameters'!C55</f>
        <v>12</v>
      </c>
      <c r="F201" s="43"/>
      <c r="G201" s="43"/>
      <c r="H201" s="43"/>
      <c r="I201" s="43"/>
      <c r="J201" s="43"/>
      <c r="K201" s="43"/>
      <c r="L201" s="43"/>
      <c r="M201" s="43"/>
      <c r="N201" s="43"/>
      <c r="O201" s="43"/>
      <c r="P201" s="43"/>
      <c r="Q201" s="43"/>
      <c r="R201" s="43"/>
      <c r="S201" s="43"/>
    </row>
    <row r="202" spans="2:19" x14ac:dyDescent="0.2">
      <c r="B202" s="34" t="str">
        <f>'[1]General System Parameters'!B56</f>
        <v>Straddling Loss (dB) - w/o OL</v>
      </c>
      <c r="C202" s="35">
        <f>'[1]General System Parameters'!C56</f>
        <v>3</v>
      </c>
    </row>
    <row r="203" spans="2:19" x14ac:dyDescent="0.2">
      <c r="B203" s="34" t="str">
        <f>'[1]General System Parameters'!B57</f>
        <v>Straddling Loss (dB) - with 50% OL</v>
      </c>
      <c r="C203" s="35">
        <f>'[1]General System Parameters'!C57</f>
        <v>1.25</v>
      </c>
    </row>
    <row r="204" spans="2:19" x14ac:dyDescent="0.2">
      <c r="B204" s="30" t="str">
        <f>'[1]General System Parameters'!B58</f>
        <v>Freq Desynchronization factor (ppb)</v>
      </c>
      <c r="C204" s="31">
        <f>'[1]General System Parameters'!C58</f>
        <v>5</v>
      </c>
    </row>
    <row r="205" spans="2:19" x14ac:dyDescent="0.2">
      <c r="B205" s="34" t="str">
        <f>'[1]General System Parameters'!B59</f>
        <v>Freq Desynchronization factor (Hz)</v>
      </c>
      <c r="C205" s="35">
        <f>'[1]General System Parameters'!C59</f>
        <v>17.5</v>
      </c>
    </row>
    <row r="206" spans="2:19" x14ac:dyDescent="0.2">
      <c r="B206" s="34" t="str">
        <f>'[1]General System Parameters'!B60</f>
        <v>Freq Desynchronization factor (m/s)</v>
      </c>
      <c r="C206" s="35">
        <f>'[1]General System Parameters'!C60</f>
        <v>0.74948114500000007</v>
      </c>
    </row>
    <row r="207" spans="2:19" x14ac:dyDescent="0.2">
      <c r="B207" s="30" t="str">
        <f>'[1]General System Parameters'!B61</f>
        <v>Time Desynchronization factor (ppm)</v>
      </c>
      <c r="C207" s="31">
        <f>'[1]General System Parameters'!C61</f>
        <v>0.2</v>
      </c>
    </row>
    <row r="208" spans="2:19" x14ac:dyDescent="0.2">
      <c r="B208" s="30" t="str">
        <f>'[1]General System Parameters'!B62</f>
        <v>Synchronization window per seq (μs)</v>
      </c>
      <c r="C208" s="31">
        <f>'[1]General System Parameters'!C62</f>
        <v>0.1</v>
      </c>
    </row>
    <row r="209" spans="2:3" s="6" customFormat="1" x14ac:dyDescent="0.2">
      <c r="B209" s="117" t="str">
        <f>'[1]General System Parameters'!B63</f>
        <v>#RG in Optimized Mode (one side)</v>
      </c>
      <c r="C209" s="118">
        <f>'[1]General System Parameters'!C63</f>
        <v>7</v>
      </c>
    </row>
    <row r="210" spans="2:3" s="6" customFormat="1" x14ac:dyDescent="0.2">
      <c r="B210" s="30" t="str">
        <f>'[1]General System Parameters'!B64</f>
        <v>Total #RG in Optimized Mode</v>
      </c>
      <c r="C210" s="31">
        <f>'[1]General System Parameters'!C64</f>
        <v>15</v>
      </c>
    </row>
  </sheetData>
  <mergeCells count="4">
    <mergeCell ref="B150:D150"/>
    <mergeCell ref="C1:D1"/>
    <mergeCell ref="E1:T1"/>
    <mergeCell ref="B145:D145"/>
  </mergeCells>
  <conditionalFormatting sqref="D61">
    <cfRule type="cellIs" dxfId="21" priority="5" operator="greaterThan">
      <formula>3</formula>
    </cfRule>
  </conditionalFormatting>
  <conditionalFormatting sqref="D59">
    <cfRule type="expression" dxfId="20" priority="4">
      <formula>AND(D$59 &gt; D$50, D$49&gt;1)</formula>
    </cfRule>
  </conditionalFormatting>
  <conditionalFormatting sqref="C61">
    <cfRule type="cellIs" dxfId="19" priority="3" operator="greaterThan">
      <formula>3</formula>
    </cfRule>
  </conditionalFormatting>
  <conditionalFormatting sqref="C49">
    <cfRule type="cellIs" dxfId="18" priority="2" operator="greaterThan">
      <formula>"2&amp;&amp;$C$57&gt;$C$58"</formula>
    </cfRule>
  </conditionalFormatting>
  <conditionalFormatting sqref="C59">
    <cfRule type="expression" dxfId="17" priority="1">
      <formula>AND($C$61 &gt; $C$52, $C$51&gt;1)</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Z210"/>
  <sheetViews>
    <sheetView workbookViewId="0">
      <selection sqref="A1:XFD1048576"/>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36" t="str">
        <f>'[1]Parameters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'[1]Parameters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'[1]Parameters List'!B4</f>
        <v>Antenna Number (1 or 2)</v>
      </c>
      <c r="C4" s="49"/>
      <c r="D4" s="49"/>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'[1]Parameters List'!B5</f>
        <v>Steer Az (clockwise - positive)</v>
      </c>
      <c r="C5" s="49"/>
      <c r="D5" s="49"/>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'[1]Parameters List'!B6</f>
        <v>Steer El (up - positive)</v>
      </c>
      <c r="C6" s="49"/>
      <c r="D6" s="49"/>
      <c r="E6" s="50"/>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'[1]Parameters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'[1]Parameters List'!B9</f>
        <v>Antenna Number (1 or 2)</v>
      </c>
      <c r="C9" s="49"/>
      <c r="D9" s="49"/>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'[1]Parameters List'!B10</f>
        <v>Steer Az (clockwise - positive)</v>
      </c>
      <c r="C10" s="49"/>
      <c r="D10" s="49"/>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'[1]Parameters List'!B11</f>
        <v>Steer El (up - positive)</v>
      </c>
      <c r="C11" s="49"/>
      <c r="D11" s="49"/>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'[1]Parameters List'!B13</f>
        <v>Processing Channel Number (1 or 2)</v>
      </c>
      <c r="C13" s="49"/>
      <c r="D13" s="49"/>
      <c r="E13" s="33">
        <v>1</v>
      </c>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'[1]Parameters List'!B14</f>
        <v>Beam type (relative to processing channel)</v>
      </c>
      <c r="C14" s="49"/>
      <c r="D14" s="49"/>
      <c r="E14" s="33">
        <v>1</v>
      </c>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'[1]Parameters List'!B15</f>
        <v>Stagger number (1 or 2)</v>
      </c>
      <c r="C15" s="58"/>
      <c r="D15" s="58"/>
      <c r="E15" s="33">
        <v>1</v>
      </c>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'[1]Parameters List'!B16</f>
        <v>Receiving Patch Group (1 or 2)</v>
      </c>
      <c r="C16" s="58"/>
      <c r="D16" s="58"/>
      <c r="E16" s="33">
        <v>1</v>
      </c>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'[1]Parameters List'!B17</f>
        <v>Tracking (0 or 1)</v>
      </c>
      <c r="C17" s="58"/>
      <c r="D17" s="58"/>
      <c r="E17" s="33">
        <v>1</v>
      </c>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'[1]Parameters List'!B18</f>
        <v>Stagger PRI Sequence (Chip Units)</v>
      </c>
      <c r="C18" s="58"/>
      <c r="D18" s="58"/>
      <c r="E18" s="123">
        <f t="shared" ref="E18:AJ18" si="0">IF(E$13=1, (E$14-1)*$C$31,IF(E$13=2,((E$14-1)*$D$31),""))</f>
        <v>0</v>
      </c>
      <c r="F18" s="123" t="str">
        <f t="shared" si="0"/>
        <v/>
      </c>
      <c r="G18" s="123" t="str">
        <f t="shared" si="0"/>
        <v/>
      </c>
      <c r="H18" s="123" t="str">
        <f t="shared" si="0"/>
        <v/>
      </c>
      <c r="I18" s="123" t="str">
        <f t="shared" si="0"/>
        <v/>
      </c>
      <c r="J18" s="123" t="str">
        <f t="shared" si="0"/>
        <v/>
      </c>
      <c r="K18" s="123" t="str">
        <f t="shared" si="0"/>
        <v/>
      </c>
      <c r="L18" s="123" t="str">
        <f t="shared" si="0"/>
        <v/>
      </c>
      <c r="M18" s="123" t="str">
        <f t="shared" si="0"/>
        <v/>
      </c>
      <c r="N18" s="123" t="str">
        <f t="shared" si="0"/>
        <v/>
      </c>
      <c r="O18" s="123" t="str">
        <f t="shared" si="0"/>
        <v/>
      </c>
      <c r="P18" s="123" t="str">
        <f t="shared" si="0"/>
        <v/>
      </c>
      <c r="Q18" s="123" t="str">
        <f t="shared" si="0"/>
        <v/>
      </c>
      <c r="R18" s="123" t="str">
        <f t="shared" si="0"/>
        <v/>
      </c>
      <c r="S18" s="123" t="str">
        <f t="shared" si="0"/>
        <v/>
      </c>
      <c r="T18" s="123" t="str">
        <f t="shared" si="0"/>
        <v/>
      </c>
      <c r="U18" s="123" t="str">
        <f t="shared" si="0"/>
        <v/>
      </c>
      <c r="V18" s="123" t="str">
        <f t="shared" si="0"/>
        <v/>
      </c>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CONCATENATE('[1]XML File Parameters'!D2," XMLver",'[1]XML File Parameters'!D3,".",'[1]XML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'[1]Parameters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'[1]Parameters List'!B21</f>
        <v>Apply RG Optimization</v>
      </c>
      <c r="C21" s="64">
        <v>1</v>
      </c>
      <c r="D21" s="64">
        <v>0</v>
      </c>
      <c r="F21" s="43"/>
      <c r="G21" s="43"/>
      <c r="H21" s="43"/>
      <c r="I21" s="43"/>
      <c r="J21" s="43"/>
      <c r="K21" s="43"/>
      <c r="L21" s="43"/>
      <c r="M21" s="43"/>
      <c r="N21" s="43"/>
      <c r="O21" s="43"/>
      <c r="P21" s="43"/>
      <c r="Q21" s="43"/>
      <c r="R21" s="43"/>
      <c r="S21" s="43"/>
    </row>
    <row r="22" spans="1:78" x14ac:dyDescent="0.2">
      <c r="A22" s="91" t="s">
        <v>78</v>
      </c>
      <c r="B22" s="104" t="str">
        <f>'[1]Parameters List'!B22</f>
        <v>Sequential Repetition</v>
      </c>
      <c r="C22" s="64">
        <v>1</v>
      </c>
      <c r="D22" s="64">
        <v>2</v>
      </c>
      <c r="F22" s="43"/>
      <c r="G22" s="43"/>
      <c r="H22" s="43"/>
      <c r="I22" s="43"/>
      <c r="J22" s="43"/>
      <c r="K22" s="43"/>
      <c r="L22" s="43"/>
      <c r="M22" s="43"/>
      <c r="N22" s="43"/>
      <c r="O22" s="43"/>
      <c r="P22" s="43"/>
      <c r="Q22" s="43"/>
      <c r="R22" s="43"/>
      <c r="S22" s="43"/>
    </row>
    <row r="23" spans="1:78" x14ac:dyDescent="0.2">
      <c r="A23" s="91" t="s">
        <v>78</v>
      </c>
      <c r="B23" s="104" t="str">
        <f>'[1]Parameters List'!B23</f>
        <v>Max Dets to process</v>
      </c>
      <c r="C23" s="64">
        <v>256</v>
      </c>
      <c r="D23" s="64">
        <v>40</v>
      </c>
      <c r="E23" s="65"/>
      <c r="F23" s="43"/>
      <c r="G23" s="43"/>
      <c r="H23" s="43"/>
      <c r="I23" s="43"/>
      <c r="J23" s="43"/>
      <c r="K23" s="43"/>
      <c r="L23" s="43"/>
      <c r="M23" s="43"/>
      <c r="N23" s="43"/>
      <c r="O23" s="43"/>
      <c r="P23" s="43"/>
      <c r="Q23" s="43"/>
      <c r="R23" s="43"/>
      <c r="S23" s="43"/>
    </row>
    <row r="24" spans="1:78" x14ac:dyDescent="0.2">
      <c r="A24" s="91"/>
      <c r="B24" s="95" t="str">
        <f>'[1]Parameters List'!B24</f>
        <v>Number of Steers</v>
      </c>
      <c r="C24" s="33">
        <f>COUNTIF(E$4:BP$4,"&gt;0")</f>
        <v>0</v>
      </c>
      <c r="D24" s="33">
        <f>COUNTIF(E$9:BP$9,"&gt;0")</f>
        <v>0</v>
      </c>
      <c r="E24" s="65"/>
      <c r="F24" s="43"/>
      <c r="G24" s="43"/>
      <c r="H24" s="43"/>
      <c r="I24" s="43"/>
      <c r="J24" s="43"/>
      <c r="K24" s="43"/>
      <c r="L24" s="43"/>
      <c r="M24" s="43"/>
      <c r="N24" s="43"/>
      <c r="O24" s="43"/>
      <c r="P24" s="43"/>
      <c r="Q24" s="43"/>
      <c r="R24" s="43"/>
      <c r="S24" s="43"/>
    </row>
    <row r="25" spans="1:78" x14ac:dyDescent="0.2">
      <c r="A25" s="91"/>
      <c r="B25" s="95" t="str">
        <f>'[1]Parameters List'!B25</f>
        <v>Number of Beam Types</v>
      </c>
      <c r="C25" s="33">
        <f>COUNTIFS($E$13:$AJ$13,"=1",$E$15:$AJ$15,"=1")</f>
        <v>1</v>
      </c>
      <c r="D25" s="33">
        <f>COUNTIFS($E$13:$AJ$13,"=2",$E$15:$AJ$15,"=1")</f>
        <v>0</v>
      </c>
      <c r="E25" s="65"/>
      <c r="F25" s="43"/>
      <c r="G25" s="43"/>
      <c r="H25" s="43"/>
      <c r="I25" s="43"/>
      <c r="J25" s="43"/>
      <c r="K25" s="43"/>
      <c r="L25" s="43"/>
      <c r="M25" s="43"/>
      <c r="N25" s="43"/>
      <c r="O25" s="43"/>
      <c r="P25" s="43"/>
      <c r="Q25" s="43"/>
      <c r="R25" s="43"/>
      <c r="S25" s="43"/>
    </row>
    <row r="26" spans="1:78" x14ac:dyDescent="0.2">
      <c r="A26" s="91"/>
      <c r="B26" s="95" t="str">
        <f>'[1]Parameters List'!B26</f>
        <v>Number of Beams</v>
      </c>
      <c r="C26" s="33">
        <f>COUNTIF($E$13:$AJ$13,"=1")</f>
        <v>1</v>
      </c>
      <c r="D26" s="33">
        <f>COUNTIF($E$13:$AJ$13,"=2")</f>
        <v>0</v>
      </c>
      <c r="E26" s="65"/>
      <c r="F26" s="43"/>
      <c r="G26" s="43"/>
      <c r="H26" s="43"/>
      <c r="I26" s="43"/>
      <c r="J26" s="43"/>
      <c r="K26" s="43"/>
      <c r="L26" s="43"/>
      <c r="M26" s="43"/>
      <c r="N26" s="43"/>
      <c r="O26" s="43"/>
      <c r="P26" s="43"/>
      <c r="Q26" s="43"/>
      <c r="R26" s="43"/>
      <c r="S26" s="43"/>
    </row>
    <row r="27" spans="1:78" x14ac:dyDescent="0.2">
      <c r="A27" s="91"/>
      <c r="B27" s="95" t="str">
        <f>'[1]Parameters List'!B27</f>
        <v>Number of Beams at Antenna1</v>
      </c>
      <c r="C27" s="33">
        <f>IF(COUNTIF($E$4:$BP$4,"=1")&gt;=C$25,C$26,COUNTIF($E$4:$BP$4,"=1")*C$26/C$25)</f>
        <v>0</v>
      </c>
      <c r="D27" s="33">
        <f>IF(COUNTIF($E$9:$BP$9,"=1")&gt;=D$25,D$26,COUNTIF($E$9:$BP$9,"=1")*D$26/D$25)</f>
        <v>0</v>
      </c>
      <c r="E27" s="65"/>
      <c r="F27" s="43"/>
      <c r="G27" s="43"/>
      <c r="H27" s="43"/>
      <c r="I27" s="43"/>
      <c r="J27" s="43"/>
      <c r="K27" s="43"/>
      <c r="L27" s="43"/>
      <c r="M27" s="43"/>
      <c r="N27" s="43"/>
      <c r="O27" s="43"/>
      <c r="P27" s="43"/>
      <c r="Q27" s="43"/>
      <c r="R27" s="43"/>
      <c r="S27" s="43"/>
    </row>
    <row r="28" spans="1:78" x14ac:dyDescent="0.2">
      <c r="A28" s="91"/>
      <c r="B28" s="95" t="str">
        <f>'[1]Parameters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'[1]Parameters List'!B29</f>
        <v>Desired CPI (ms)</v>
      </c>
      <c r="C29" s="64">
        <v>247</v>
      </c>
      <c r="D29" s="64">
        <v>5</v>
      </c>
      <c r="G29" s="43"/>
      <c r="H29" s="43"/>
      <c r="I29" s="43"/>
      <c r="J29" s="43"/>
      <c r="K29" s="43"/>
      <c r="L29" s="43"/>
      <c r="M29" s="43"/>
      <c r="N29" s="43"/>
      <c r="O29" s="43"/>
      <c r="P29" s="43"/>
      <c r="Q29" s="43"/>
      <c r="R29" s="43"/>
      <c r="S29" s="43"/>
    </row>
    <row r="30" spans="1:78" x14ac:dyDescent="0.2">
      <c r="A30" s="91" t="s">
        <v>78</v>
      </c>
      <c r="B30" s="95" t="str">
        <f>'[1]Parameters List'!B30</f>
        <v>Actual CPI (ms)</v>
      </c>
      <c r="C30" s="33">
        <f>(C$49*$C$104*C$51)/1000</f>
        <v>246.57920000000001</v>
      </c>
      <c r="D30" s="33">
        <f>(D$49*$C$104*D$51)/1000</f>
        <v>4.8159999999999998</v>
      </c>
      <c r="F30" s="43"/>
      <c r="G30" s="43"/>
      <c r="H30" s="43"/>
      <c r="I30" s="43"/>
      <c r="J30" s="43"/>
      <c r="K30" s="43"/>
      <c r="L30" s="43"/>
      <c r="M30" s="43"/>
      <c r="N30" s="43"/>
      <c r="O30" s="43"/>
      <c r="P30" s="43"/>
      <c r="Q30" s="43"/>
      <c r="R30" s="43"/>
      <c r="S30" s="43"/>
    </row>
    <row r="31" spans="1:78" x14ac:dyDescent="0.2">
      <c r="A31" s="91" t="s">
        <v>78</v>
      </c>
      <c r="B31" s="94" t="str">
        <f>'[1]Parameters List'!B31</f>
        <v>Multi Stagger - PRI Ext (in Chip Units)</v>
      </c>
      <c r="C31" s="64">
        <v>0</v>
      </c>
      <c r="D31" s="64">
        <v>0</v>
      </c>
      <c r="E31" s="65"/>
      <c r="F31" s="119"/>
      <c r="G31" s="43"/>
      <c r="H31" s="43"/>
      <c r="I31" s="43"/>
      <c r="J31" s="43"/>
      <c r="K31" s="43"/>
      <c r="L31" s="43"/>
      <c r="M31" s="43"/>
      <c r="N31" s="43"/>
      <c r="O31" s="43"/>
      <c r="P31" s="43"/>
      <c r="Q31" s="43"/>
      <c r="R31" s="43"/>
      <c r="S31" s="43"/>
    </row>
    <row r="32" spans="1:78" x14ac:dyDescent="0.2">
      <c r="A32" s="91" t="s">
        <v>78</v>
      </c>
      <c r="B32" s="94" t="str">
        <f>'[1]Parameters List'!B32</f>
        <v>Stagger1 PRI (µs)</v>
      </c>
      <c r="C32" s="64">
        <v>30</v>
      </c>
      <c r="D32" s="64">
        <v>14</v>
      </c>
      <c r="F32" s="43"/>
      <c r="G32" s="43"/>
      <c r="H32" s="43"/>
      <c r="I32" s="43"/>
      <c r="J32" s="43"/>
      <c r="K32" s="43"/>
      <c r="L32" s="43"/>
      <c r="M32" s="43"/>
      <c r="N32" s="43"/>
      <c r="O32" s="43"/>
      <c r="P32" s="43"/>
      <c r="Q32" s="43"/>
      <c r="R32" s="43"/>
      <c r="S32" s="43"/>
    </row>
    <row r="33" spans="1:19" x14ac:dyDescent="0.2">
      <c r="A33" s="91" t="s">
        <v>78</v>
      </c>
      <c r="B33" s="94" t="str">
        <f>'[1]Parameters List'!B33</f>
        <v>Stagger2 PRI (µs)</v>
      </c>
      <c r="C33" s="64">
        <v>0</v>
      </c>
      <c r="D33" s="64">
        <v>0</v>
      </c>
      <c r="F33" s="43"/>
      <c r="G33" s="43"/>
      <c r="H33" s="43"/>
      <c r="I33" s="43"/>
      <c r="J33" s="43"/>
      <c r="K33" s="43"/>
      <c r="L33" s="43"/>
      <c r="M33" s="43"/>
      <c r="N33" s="43"/>
      <c r="O33" s="43"/>
      <c r="P33" s="43"/>
      <c r="Q33" s="43"/>
      <c r="R33" s="43"/>
      <c r="S33" s="43"/>
    </row>
    <row r="34" spans="1:19" x14ac:dyDescent="0.2">
      <c r="A34" s="91" t="s">
        <v>81</v>
      </c>
      <c r="B34" s="95" t="str">
        <f>'[1]Parameters List'!B34</f>
        <v>Number of Staggers (1 or 2)</v>
      </c>
      <c r="C34" s="67">
        <f>1*(C$32&lt;&gt;0)+1*(C$33&lt;&gt;0)</f>
        <v>1</v>
      </c>
      <c r="D34" s="67">
        <f>1*(D$32&lt;&gt;0)+1*(D$33&lt;&gt;0)</f>
        <v>1</v>
      </c>
      <c r="F34" s="43"/>
      <c r="G34" s="43"/>
      <c r="H34" s="43"/>
      <c r="I34" s="43"/>
      <c r="J34" s="43"/>
      <c r="K34" s="43"/>
      <c r="L34" s="43"/>
      <c r="M34" s="43"/>
      <c r="N34" s="43"/>
      <c r="O34" s="43"/>
      <c r="P34" s="43"/>
      <c r="Q34" s="43"/>
      <c r="R34" s="43"/>
      <c r="S34" s="43"/>
    </row>
    <row r="35" spans="1:19" x14ac:dyDescent="0.2">
      <c r="A35" s="91"/>
      <c r="B35" s="94" t="str">
        <f>'[1]Parameters List'!B35</f>
        <v>Stagger Loss (dB)</v>
      </c>
      <c r="C35" s="64">
        <v>0</v>
      </c>
      <c r="D35" s="64">
        <v>3.01</v>
      </c>
      <c r="F35" s="43"/>
      <c r="G35" s="43"/>
      <c r="H35" s="43"/>
      <c r="I35" s="43"/>
      <c r="J35" s="43"/>
      <c r="K35" s="43"/>
      <c r="L35" s="43"/>
      <c r="M35" s="43"/>
      <c r="N35" s="43"/>
      <c r="O35" s="43"/>
      <c r="P35" s="43"/>
      <c r="Q35" s="43"/>
      <c r="R35" s="43"/>
      <c r="S35" s="43"/>
    </row>
    <row r="36" spans="1:19" x14ac:dyDescent="0.2">
      <c r="A36" s="91" t="s">
        <v>78</v>
      </c>
      <c r="B36" s="95" t="str">
        <f>'[1]Parameters List'!B36</f>
        <v>PW (µs)</v>
      </c>
      <c r="C36" s="33">
        <f>C$46*C$48*$C$174</f>
        <v>7.8000000000000007</v>
      </c>
      <c r="D36" s="33">
        <f>D$46*D$48*$C$174</f>
        <v>3.9000000000000004</v>
      </c>
      <c r="F36" s="43"/>
      <c r="G36" s="43"/>
      <c r="H36" s="43"/>
      <c r="I36" s="43"/>
      <c r="J36" s="43"/>
      <c r="K36" s="43"/>
      <c r="L36" s="43"/>
      <c r="M36" s="43"/>
      <c r="N36" s="43"/>
      <c r="O36" s="43"/>
      <c r="P36" s="43"/>
      <c r="Q36" s="43"/>
      <c r="R36" s="43"/>
      <c r="S36" s="43"/>
    </row>
    <row r="37" spans="1:19" x14ac:dyDescent="0.2">
      <c r="A37" s="91" t="s">
        <v>78</v>
      </c>
      <c r="B37" s="95" t="str">
        <f>'[1]Parameters List'!B37</f>
        <v>Actual Bandwidth (MHz)</v>
      </c>
      <c r="C37" s="33">
        <f>2*C$48/(C$36*(2*(C$48=2)+1*(C$48&lt;&gt;2)))</f>
        <v>3.333333333333333</v>
      </c>
      <c r="D37" s="33">
        <f>2*D$48/(D$36*(2*(D$48=2)+1*(D$48&lt;&gt;2)))</f>
        <v>6.6666666666666661</v>
      </c>
      <c r="F37" s="43"/>
      <c r="G37" s="43"/>
      <c r="H37" s="43"/>
      <c r="I37" s="43"/>
      <c r="J37" s="43"/>
      <c r="K37" s="43"/>
      <c r="L37" s="43"/>
      <c r="M37" s="43"/>
      <c r="N37" s="43"/>
      <c r="O37" s="43"/>
      <c r="P37" s="43"/>
      <c r="Q37" s="43"/>
      <c r="R37" s="43"/>
      <c r="S37" s="43"/>
    </row>
    <row r="38" spans="1:19" x14ac:dyDescent="0.2">
      <c r="A38" s="91" t="s">
        <v>81</v>
      </c>
      <c r="B38" s="95" t="str">
        <f>'[1]Parameters List'!B38</f>
        <v>Range Resolution (m)</v>
      </c>
      <c r="C38" s="67">
        <f>$C$163*C$36 /C$48*(2*(C$48=2)+1*(C$48&lt;&gt;2))</f>
        <v>89.937737400000003</v>
      </c>
      <c r="D38" s="67">
        <f>$C$163*D$36 /D$48*(2*(D$48=2)+1*(D$48&lt;&gt;2))</f>
        <v>44.968868700000002</v>
      </c>
      <c r="F38" s="43"/>
      <c r="G38" s="43"/>
      <c r="H38" s="43"/>
      <c r="I38" s="43"/>
      <c r="J38" s="43"/>
      <c r="K38" s="43"/>
      <c r="L38" s="43"/>
      <c r="M38" s="43"/>
      <c r="N38" s="43"/>
      <c r="O38" s="43"/>
      <c r="P38" s="43"/>
      <c r="Q38" s="43"/>
      <c r="R38" s="43"/>
      <c r="S38" s="43"/>
    </row>
    <row r="39" spans="1:19" x14ac:dyDescent="0.2">
      <c r="A39" s="91" t="s">
        <v>81</v>
      </c>
      <c r="B39" s="95" t="str">
        <f>'[1]Parameters List'!B39</f>
        <v>Range Gate Width (m)</v>
      </c>
      <c r="C39" s="67">
        <f>C$38*(1*(C$47=0)+0.5*(C$47&lt;&gt;0))</f>
        <v>44.968868700000002</v>
      </c>
      <c r="D39" s="67">
        <f>D$38*(1*(D$47=0)+0.5*(D$47&lt;&gt;0))</f>
        <v>22.484434350000001</v>
      </c>
      <c r="F39" s="43"/>
      <c r="G39" s="43"/>
      <c r="H39" s="43"/>
      <c r="I39" s="43"/>
      <c r="J39" s="43"/>
      <c r="K39" s="43"/>
      <c r="L39" s="43"/>
      <c r="M39" s="43"/>
      <c r="N39" s="43"/>
      <c r="O39" s="43"/>
      <c r="P39" s="43"/>
      <c r="Q39" s="43"/>
      <c r="R39" s="43"/>
      <c r="S39" s="43"/>
    </row>
    <row r="40" spans="1:19" x14ac:dyDescent="0.2">
      <c r="A40" s="91" t="s">
        <v>78</v>
      </c>
      <c r="B40" s="94" t="str">
        <f>'[1]Parameters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'[1]Parameters List'!B41</f>
        <v>Min Range Offset (m)</v>
      </c>
      <c r="C41" s="64">
        <v>45</v>
      </c>
      <c r="D41" s="64">
        <v>0</v>
      </c>
      <c r="F41" s="43"/>
      <c r="G41" s="43"/>
      <c r="H41" s="43"/>
      <c r="I41" s="43"/>
      <c r="J41" s="43"/>
      <c r="K41" s="43"/>
      <c r="L41" s="43"/>
      <c r="M41" s="43"/>
      <c r="N41" s="43"/>
      <c r="O41" s="43"/>
      <c r="P41" s="43"/>
      <c r="Q41" s="43"/>
      <c r="R41" s="43"/>
      <c r="S41" s="43"/>
    </row>
    <row r="42" spans="1:19" x14ac:dyDescent="0.2">
      <c r="A42" s="91" t="s">
        <v>78</v>
      </c>
      <c r="B42" s="94" t="str">
        <f>'[1]Parameters List'!B42</f>
        <v>Max Range Offset (m)</v>
      </c>
      <c r="C42" s="64">
        <v>45</v>
      </c>
      <c r="D42" s="64">
        <v>0</v>
      </c>
      <c r="F42" s="43"/>
      <c r="G42" s="43"/>
      <c r="H42" s="43"/>
      <c r="I42" s="43"/>
      <c r="J42" s="43"/>
      <c r="K42" s="43"/>
      <c r="L42" s="43"/>
      <c r="M42" s="43"/>
      <c r="N42" s="43"/>
      <c r="O42" s="43"/>
      <c r="P42" s="43"/>
      <c r="Q42" s="43"/>
      <c r="R42" s="43"/>
      <c r="S42" s="43"/>
    </row>
    <row r="43" spans="1:19" x14ac:dyDescent="0.2">
      <c r="A43" s="91" t="s">
        <v>78</v>
      </c>
      <c r="B43" s="95" t="str">
        <f>'[1]Parameters List'!B43</f>
        <v>Min Range (m)</v>
      </c>
      <c r="C43" s="67">
        <f>$C$163*C$36 + C$41</f>
        <v>1214.1905862000001</v>
      </c>
      <c r="D43" s="67">
        <f>$C$163*D$36 + D$41</f>
        <v>584.59529310000005</v>
      </c>
      <c r="F43" s="43"/>
      <c r="G43" s="43"/>
      <c r="H43" s="43"/>
      <c r="I43" s="43"/>
      <c r="J43" s="43"/>
      <c r="K43" s="43"/>
      <c r="L43" s="43"/>
      <c r="M43" s="43"/>
      <c r="N43" s="43"/>
      <c r="O43" s="43"/>
      <c r="P43" s="43"/>
      <c r="Q43" s="43"/>
      <c r="R43" s="43"/>
      <c r="S43" s="43"/>
    </row>
    <row r="44" spans="1:19" x14ac:dyDescent="0.2">
      <c r="A44" s="91" t="s">
        <v>78</v>
      </c>
      <c r="B44" s="95" t="str">
        <f>'[1]Parameters List'!B44</f>
        <v>Max Range (m)</v>
      </c>
      <c r="C44" s="67">
        <f>$C$163*((C$45-1)*C$46*$C$174/IF(C$48=2,IF(C$47=1,1,0.5),IF(C$47=1,2,1)))+C$43</f>
        <v>3237.7896777000001</v>
      </c>
      <c r="D44" s="67">
        <f>$C$163*((D$45-1)*D$46*$C$174/IF(D$48=2,IF(D$47=1,1,0.5),IF(D$47=1,2,1)))+D$43</f>
        <v>1483.9726671000001</v>
      </c>
      <c r="F44" s="43"/>
      <c r="G44" s="43"/>
      <c r="H44" s="43"/>
      <c r="I44" s="43"/>
      <c r="J44" s="43"/>
      <c r="K44" s="43"/>
      <c r="L44" s="43"/>
      <c r="M44" s="43"/>
      <c r="N44" s="43"/>
      <c r="O44" s="43"/>
      <c r="P44" s="43"/>
      <c r="Q44" s="43"/>
      <c r="R44" s="43"/>
      <c r="S44" s="43"/>
    </row>
    <row r="45" spans="1:19" x14ac:dyDescent="0.2">
      <c r="A45" s="91" t="s">
        <v>78</v>
      </c>
      <c r="B45" s="95" t="str">
        <f>'[1]Parameters List'!B45</f>
        <v>NRG</v>
      </c>
      <c r="C45" s="33">
        <f>FLOOR((C$32-$C$161-2*C$36-(C$41+C$42)/$C$163)/(IF(C$48=2,IF(C$47=0,C$46*$C$174*2,C$46*$C$174),IF(C$47=0,C$46*$C$174,C$46*$C$174/2))),1)+1</f>
        <v>46</v>
      </c>
      <c r="D45" s="33">
        <f>FLOOR((D$32-$C$161-2*D$36-(D$41+D$42)/$C$163)/(IF(D$48=2,IF(D$47=0,D$46*$C$174*2,D$46*$C$174),IF(D$47=0,D$46*$C$174,D$46*$C$174/2))),1)+1</f>
        <v>41</v>
      </c>
      <c r="F45" s="43"/>
      <c r="G45" s="43"/>
      <c r="H45" s="43"/>
      <c r="I45" s="43"/>
      <c r="J45" s="43"/>
      <c r="K45" s="43"/>
      <c r="L45" s="43"/>
      <c r="M45" s="43"/>
      <c r="N45" s="43"/>
      <c r="O45" s="43"/>
      <c r="P45" s="43"/>
      <c r="Q45" s="43"/>
      <c r="R45" s="43"/>
      <c r="S45" s="43"/>
    </row>
    <row r="46" spans="1:19" x14ac:dyDescent="0.2">
      <c r="A46" s="91" t="s">
        <v>78</v>
      </c>
      <c r="B46" s="94" t="str">
        <f>'[1]Parameters List'!B46</f>
        <v>TCHIP (even number)</v>
      </c>
      <c r="C46" s="64">
        <v>48</v>
      </c>
      <c r="D46" s="64">
        <v>24</v>
      </c>
      <c r="F46" s="43"/>
      <c r="G46" s="43"/>
      <c r="H46" s="43"/>
      <c r="I46" s="43"/>
      <c r="J46" s="43"/>
      <c r="K46" s="43"/>
      <c r="L46" s="43"/>
      <c r="M46" s="43"/>
      <c r="N46" s="43"/>
      <c r="O46" s="43"/>
      <c r="P46" s="43"/>
      <c r="Q46" s="43"/>
      <c r="R46" s="43"/>
      <c r="S46" s="43"/>
    </row>
    <row r="47" spans="1:19" x14ac:dyDescent="0.2">
      <c r="A47" s="91" t="s">
        <v>78</v>
      </c>
      <c r="B47" s="94" t="str">
        <f>'[1]Parameters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'[1]Parameters List'!B48</f>
        <v>NSERIES</v>
      </c>
      <c r="C48" s="64">
        <v>13</v>
      </c>
      <c r="D48" s="64">
        <v>13</v>
      </c>
      <c r="F48" s="43"/>
      <c r="G48" s="43"/>
      <c r="H48" s="43"/>
      <c r="I48" s="43"/>
      <c r="J48" s="43"/>
      <c r="K48" s="43"/>
      <c r="L48" s="43"/>
      <c r="M48" s="43"/>
      <c r="N48" s="43"/>
      <c r="O48" s="43"/>
      <c r="P48" s="43"/>
      <c r="Q48" s="43"/>
      <c r="R48" s="43"/>
      <c r="S48" s="43"/>
    </row>
    <row r="49" spans="1:19" x14ac:dyDescent="0.2">
      <c r="A49" s="91" t="s">
        <v>78</v>
      </c>
      <c r="B49" s="94" t="str">
        <f>'[1]Parameters List'!B49</f>
        <v>POSTDEC</v>
      </c>
      <c r="C49" s="64">
        <v>2</v>
      </c>
      <c r="D49" s="64">
        <v>1</v>
      </c>
      <c r="F49" s="43"/>
      <c r="G49" s="43"/>
      <c r="H49" s="43"/>
      <c r="I49" s="43"/>
      <c r="J49" s="43"/>
      <c r="K49" s="43"/>
      <c r="L49" s="43"/>
      <c r="M49" s="43"/>
      <c r="N49" s="43"/>
      <c r="O49" s="43"/>
      <c r="P49" s="43"/>
      <c r="Q49" s="43"/>
      <c r="R49" s="43"/>
      <c r="S49" s="43"/>
    </row>
    <row r="50" spans="1:19" x14ac:dyDescent="0.2">
      <c r="A50" s="91"/>
      <c r="B50" s="80" t="str">
        <f>'[1]Parameters List'!B50</f>
        <v>Max Abs Velocity Meas (m/s)</v>
      </c>
      <c r="C50" s="70">
        <f>1000000/($C$168*2*$C$104*C$49)</f>
        <v>355.71008305647837</v>
      </c>
      <c r="D50" s="70">
        <f>1000000/($C$168*2*$C$104*D$49)</f>
        <v>711.42016611295674</v>
      </c>
      <c r="F50" s="43"/>
      <c r="G50" s="43"/>
      <c r="H50" s="43"/>
      <c r="I50" s="43"/>
      <c r="J50" s="43"/>
      <c r="K50" s="43"/>
      <c r="L50" s="43"/>
      <c r="M50" s="43"/>
      <c r="N50" s="43"/>
      <c r="O50" s="43"/>
      <c r="P50" s="43"/>
      <c r="Q50" s="43"/>
      <c r="R50" s="43"/>
      <c r="S50" s="43"/>
    </row>
    <row r="51" spans="1:19" x14ac:dyDescent="0.2">
      <c r="A51" s="91" t="s">
        <v>78</v>
      </c>
      <c r="B51" s="95" t="str">
        <f>'[1]Parameters List'!B51</f>
        <v>Npoints (up to FFT length)</v>
      </c>
      <c r="C51" s="33">
        <f>FLOOR((1000*C$29/$C$104/C$49),16)</f>
        <v>4096</v>
      </c>
      <c r="D51" s="33">
        <f>FLOOR((1000*D$29/$C$104/D$49),16)</f>
        <v>160</v>
      </c>
      <c r="F51" s="43"/>
      <c r="G51" s="43"/>
      <c r="H51" s="43"/>
      <c r="I51" s="43"/>
      <c r="J51" s="43"/>
      <c r="K51" s="43"/>
      <c r="L51" s="43"/>
      <c r="M51" s="43"/>
      <c r="N51" s="43"/>
      <c r="O51" s="43"/>
      <c r="P51" s="43"/>
      <c r="Q51" s="43"/>
      <c r="R51" s="43"/>
      <c r="S51" s="43"/>
    </row>
    <row r="52" spans="1:19" x14ac:dyDescent="0.2">
      <c r="A52" s="91" t="s">
        <v>78</v>
      </c>
      <c r="B52" s="95" t="str">
        <f>'[1]Parameters List'!B52</f>
        <v>FFT length (limited to 8192)</v>
      </c>
      <c r="C52" s="33">
        <f>2^CEILING(LOG10(C51)/LOG10(2),1)</f>
        <v>4096</v>
      </c>
      <c r="D52" s="33">
        <f>2^CEILING(LOG10(D51)/LOG10(2),1)</f>
        <v>256</v>
      </c>
      <c r="F52" s="43"/>
      <c r="G52" s="43"/>
      <c r="H52" s="43"/>
      <c r="I52" s="43"/>
      <c r="J52" s="43"/>
      <c r="K52" s="43"/>
      <c r="L52" s="43"/>
      <c r="M52" s="43"/>
      <c r="N52" s="43"/>
      <c r="O52" s="43"/>
      <c r="P52" s="43"/>
      <c r="Q52" s="43"/>
      <c r="R52" s="43"/>
      <c r="S52" s="43"/>
    </row>
    <row r="53" spans="1:19" x14ac:dyDescent="0.2">
      <c r="A53" s="91"/>
      <c r="B53" s="95" t="str">
        <f>'[1]Parameters List'!B53</f>
        <v>NCRG(per rcvr,limited to 512)</v>
      </c>
      <c r="C53" s="67">
        <f>C$45*C$26</f>
        <v>46</v>
      </c>
      <c r="D53" s="67">
        <f>D$45*D$26</f>
        <v>0</v>
      </c>
      <c r="F53" s="43"/>
      <c r="G53" s="43"/>
      <c r="H53" s="43"/>
      <c r="I53" s="43"/>
      <c r="J53" s="43"/>
      <c r="K53" s="43"/>
      <c r="L53" s="43"/>
      <c r="M53" s="43"/>
      <c r="N53" s="43"/>
      <c r="O53" s="43"/>
      <c r="P53" s="43"/>
      <c r="Q53" s="43"/>
      <c r="R53" s="43"/>
      <c r="S53" s="43"/>
    </row>
    <row r="54" spans="1:19" x14ac:dyDescent="0.2">
      <c r="A54" s="91"/>
      <c r="B54" s="95" t="str">
        <f>'[1]Parameters List'!B54</f>
        <v>NCRG(all rcvrs)</v>
      </c>
      <c r="C54" s="67">
        <f>C$53*$C$155</f>
        <v>230</v>
      </c>
      <c r="D54" s="67">
        <f>D$53*$C$155</f>
        <v>0</v>
      </c>
      <c r="F54" s="43"/>
      <c r="G54" s="43"/>
      <c r="H54" s="43"/>
      <c r="I54" s="43"/>
      <c r="J54" s="43"/>
      <c r="K54" s="43"/>
      <c r="L54" s="43"/>
      <c r="M54" s="43"/>
      <c r="N54" s="43"/>
      <c r="O54" s="43"/>
      <c r="P54" s="43"/>
      <c r="Q54" s="43"/>
      <c r="R54" s="43"/>
      <c r="S54" s="43"/>
    </row>
    <row r="55" spans="1:19" x14ac:dyDescent="0.2">
      <c r="A55" s="91"/>
      <c r="B55" s="95" t="str">
        <f>'[1]Parameters List'!B55</f>
        <v>TCHIP (m)</v>
      </c>
      <c r="C55" s="67">
        <f>C46*$C$163*$C$174</f>
        <v>89.937737400000003</v>
      </c>
      <c r="D55" s="67">
        <f>D46*$C$163*$C$174</f>
        <v>44.968868700000002</v>
      </c>
      <c r="F55" s="43"/>
      <c r="G55" s="43"/>
      <c r="H55" s="43"/>
      <c r="I55" s="43"/>
      <c r="J55" s="43"/>
      <c r="K55" s="43"/>
      <c r="L55" s="43"/>
      <c r="M55" s="43"/>
      <c r="N55" s="43"/>
      <c r="O55" s="43"/>
      <c r="P55" s="43"/>
      <c r="Q55" s="43"/>
      <c r="R55" s="43"/>
      <c r="S55" s="43"/>
    </row>
    <row r="56" spans="1:19" x14ac:dyDescent="0.2">
      <c r="A56" s="91"/>
      <c r="B56" s="94" t="str">
        <f>'[1]Parameters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'[1]Parameters List'!B57</f>
        <v>Clutter Margin (m/s)</v>
      </c>
      <c r="C57" s="67">
        <f>IF($C$206+C$56&gt;0,$C$206+C$56+C$67*C$65*1,0)</f>
        <v>1.4442274009696845</v>
      </c>
      <c r="D57" s="67">
        <f>IF($C$206+D$56&gt;0,$C$206+D$56+D$67*D$65*1,0)</f>
        <v>34.097301431544849</v>
      </c>
      <c r="F57" s="43"/>
      <c r="G57" s="43"/>
      <c r="H57" s="43"/>
      <c r="I57" s="43"/>
      <c r="J57" s="43"/>
      <c r="K57" s="43"/>
      <c r="L57" s="43"/>
      <c r="M57" s="43"/>
      <c r="N57" s="43"/>
      <c r="O57" s="43"/>
      <c r="P57" s="43"/>
      <c r="Q57" s="43"/>
      <c r="R57" s="43"/>
      <c r="S57" s="43"/>
    </row>
    <row r="58" spans="1:19" x14ac:dyDescent="0.2">
      <c r="A58" s="91" t="s">
        <v>78</v>
      </c>
      <c r="B58" s="94" t="str">
        <f>'[1]Parameters List'!B58</f>
        <v>Min Velocity (m/s)</v>
      </c>
      <c r="C58" s="64">
        <v>0</v>
      </c>
      <c r="D58" s="64">
        <v>0</v>
      </c>
      <c r="F58" s="43"/>
      <c r="G58" s="43"/>
      <c r="H58" s="43"/>
      <c r="I58" s="43"/>
      <c r="J58" s="43"/>
      <c r="K58" s="43"/>
      <c r="L58" s="43"/>
      <c r="M58" s="43"/>
      <c r="N58" s="43"/>
      <c r="O58" s="43"/>
      <c r="P58" s="43"/>
      <c r="Q58" s="43"/>
      <c r="R58" s="43"/>
      <c r="S58" s="43"/>
    </row>
    <row r="59" spans="1:19" x14ac:dyDescent="0.2">
      <c r="A59" s="91" t="s">
        <v>81</v>
      </c>
      <c r="B59" s="94" t="str">
        <f>'[1]Parameters List'!B59</f>
        <v>Max Velocity (m/s)</v>
      </c>
      <c r="C59" s="64">
        <v>350</v>
      </c>
      <c r="D59" s="64">
        <v>20</v>
      </c>
      <c r="F59" s="43"/>
      <c r="G59" s="43"/>
      <c r="H59" s="43"/>
      <c r="I59" s="43"/>
      <c r="J59" s="43"/>
      <c r="K59" s="43"/>
      <c r="L59" s="43"/>
      <c r="M59" s="43"/>
      <c r="N59" s="43"/>
      <c r="O59" s="43"/>
      <c r="P59" s="43"/>
      <c r="Q59" s="43"/>
      <c r="R59" s="43"/>
      <c r="S59" s="43"/>
    </row>
    <row r="60" spans="1:19" x14ac:dyDescent="0.2">
      <c r="A60" s="91"/>
      <c r="B60" s="68" t="str">
        <f>'[1]Parameters List'!B60</f>
        <v>Loss Velocity (m/s)</v>
      </c>
      <c r="C60" s="67">
        <f>C$38*1000/C$30</f>
        <v>364.74178438408427</v>
      </c>
      <c r="D60" s="67">
        <f>D$38*1000/D$30</f>
        <v>9337.389680232558</v>
      </c>
      <c r="F60" s="43"/>
      <c r="G60" s="43"/>
      <c r="H60" s="43"/>
      <c r="I60" s="43"/>
      <c r="J60" s="43"/>
      <c r="K60" s="43"/>
      <c r="L60" s="43"/>
      <c r="M60" s="43"/>
      <c r="N60" s="43"/>
      <c r="O60" s="43"/>
      <c r="P60" s="43"/>
      <c r="Q60" s="43"/>
      <c r="R60" s="43"/>
      <c r="S60" s="43"/>
    </row>
    <row r="61" spans="1:19" x14ac:dyDescent="0.2">
      <c r="A61" s="92"/>
      <c r="B61" s="68" t="str">
        <f>'[1]Parameters List'!B61</f>
        <v>Velocity Loss (dB)</v>
      </c>
      <c r="C61" s="67">
        <f>IF(C$59&lt;C$60, 0, IF(C$47=1, IF(C$59&lt;2*C$60, (C$59 / C$60)*0.5*$C$203, 10), IF(C$47=0, IF(C$59&lt;2*C$60, (C$59 / C$60)*$C$202-$C$202/2, 10), 10)))+(-20*LOG10(ABS(SIN(PI()*C$59*$C$168*C$36*10^-6)/(PI()*C$59*$C$168*C$36*10^-6))))</f>
        <v>5.8133225118599911E-2</v>
      </c>
      <c r="D61" s="67">
        <f>IF(D$59&lt;D$60, 0, IF(D$47=1, IF(D$59&lt;2*D$60, (D$59 / D$60)*0.5*$C$203, 10), IF(D$47=0, IF(D$59&lt;2*D$60, (D$59 / D$60)*$C$202-$C$202/2, 10), 10)))+(-20*LOG10(ABS(SIN(PI()*D$59*$C$168*D$36*10^-6)/(PI()*D$59*$C$168*D$36*10^-6))))</f>
        <v>4.7392231192217846E-5</v>
      </c>
    </row>
    <row r="62" spans="1:19" x14ac:dyDescent="0.2">
      <c r="A62" s="92"/>
      <c r="B62" s="71" t="str">
        <f>'[1]Parameters List'!B62</f>
        <v>Max Acceleration (m/s2)</v>
      </c>
      <c r="C62" s="64">
        <v>0</v>
      </c>
      <c r="D62" s="64">
        <v>0</v>
      </c>
    </row>
    <row r="63" spans="1:19" x14ac:dyDescent="0.2">
      <c r="A63" s="91"/>
      <c r="B63" s="68" t="str">
        <f>'[1]Parameters List'!B63</f>
        <v>Loss Acceleration (m/s2)</v>
      </c>
      <c r="C63" s="67">
        <f>C$65*1000/C$30*$C$196</f>
        <v>1.3383305306595206</v>
      </c>
      <c r="D63" s="67">
        <f>D$65*1000/D$30*$C$196</f>
        <v>2192.720741432559</v>
      </c>
      <c r="F63" s="43"/>
      <c r="G63" s="43"/>
      <c r="H63" s="43"/>
      <c r="I63" s="43"/>
      <c r="J63" s="43"/>
      <c r="K63" s="43"/>
      <c r="L63" s="43"/>
      <c r="M63" s="43"/>
      <c r="N63" s="43"/>
      <c r="O63" s="43"/>
      <c r="P63" s="43"/>
      <c r="Q63" s="43"/>
      <c r="R63" s="43"/>
      <c r="S63" s="43"/>
    </row>
    <row r="64" spans="1:19" x14ac:dyDescent="0.2">
      <c r="A64" s="92"/>
      <c r="B64" s="68" t="str">
        <f>'[1]Parameters List'!B64</f>
        <v>Acceleration Loss (dB)</v>
      </c>
      <c r="C64" s="67">
        <f>IF( C$62 &gt;= C$63, C$62 / C$63 * $C$198, 0)</f>
        <v>0</v>
      </c>
      <c r="D64" s="67">
        <f>IF( D$62 &gt;= D$63, D$62 / D$63 * $C$198, 0)</f>
        <v>0</v>
      </c>
    </row>
    <row r="65" spans="1:19" x14ac:dyDescent="0.2">
      <c r="A65" s="91" t="s">
        <v>81</v>
      </c>
      <c r="B65" s="80" t="str">
        <f>'[1]Parameters List'!B65</f>
        <v>fft2doppler (m/s per FFT bin)</v>
      </c>
      <c r="C65" s="70">
        <f>$C$106*1000/C$49/C$52/$C$168</f>
        <v>0.17368656399242111</v>
      </c>
      <c r="D65" s="70">
        <f>$C$106*1000/D$49/D$52/$C$168</f>
        <v>5.5579700477574754</v>
      </c>
      <c r="F65" s="43"/>
      <c r="G65" s="43"/>
      <c r="H65" s="43"/>
      <c r="I65" s="43"/>
      <c r="J65" s="43"/>
      <c r="K65" s="43"/>
      <c r="L65" s="43"/>
      <c r="M65" s="43"/>
      <c r="N65" s="43"/>
      <c r="O65" s="43"/>
      <c r="P65" s="43"/>
      <c r="Q65" s="43"/>
      <c r="R65" s="43"/>
      <c r="S65" s="43"/>
    </row>
    <row r="66" spans="1:19" x14ac:dyDescent="0.2">
      <c r="A66" s="91"/>
      <c r="B66" s="80" t="str">
        <f>'[1]Parameters List'!B66</f>
        <v>Optimal Peak2Peak Seperation (m/s)</v>
      </c>
      <c r="C66" s="70">
        <f>(C$67+C$68+(C$67+1))*C$65</f>
        <v>3.6474178438408433</v>
      </c>
      <c r="D66" s="70">
        <f>(D$67+D$68+(D$67+1))*D$65</f>
        <v>183.41301157599668</v>
      </c>
      <c r="F66" s="43"/>
      <c r="G66" s="43"/>
      <c r="H66" s="43"/>
      <c r="I66" s="43"/>
      <c r="J66" s="43"/>
      <c r="K66" s="43"/>
      <c r="L66" s="43"/>
      <c r="M66" s="43"/>
      <c r="N66" s="43"/>
      <c r="O66" s="43"/>
      <c r="P66" s="43"/>
      <c r="Q66" s="43"/>
      <c r="R66" s="43"/>
      <c r="S66" s="43"/>
    </row>
    <row r="67" spans="1:19" x14ac:dyDescent="0.2">
      <c r="A67" s="91"/>
      <c r="B67" s="95" t="str">
        <f>'[1]Parameters List'!B67</f>
        <v># FFT bins of peak spreading (one side)</v>
      </c>
      <c r="C67" s="67">
        <f>ROUND((($C$200-1) / 2) * (C$52 / C$51) + (C$62*C$30/1000)/C$65,0)</f>
        <v>4</v>
      </c>
      <c r="D67" s="67">
        <f>ROUND((($C$200-1) / 2) * (D$52 / D$51) + (D$62*D$30/1000)/D$65,0)</f>
        <v>6</v>
      </c>
      <c r="F67" s="43"/>
      <c r="G67" s="43"/>
      <c r="H67" s="43"/>
      <c r="I67" s="43"/>
      <c r="J67" s="43"/>
      <c r="K67" s="43"/>
      <c r="L67" s="43"/>
      <c r="M67" s="43"/>
      <c r="N67" s="43"/>
      <c r="O67" s="43"/>
      <c r="P67" s="43"/>
      <c r="Q67" s="43"/>
      <c r="R67" s="43"/>
      <c r="S67" s="43"/>
    </row>
    <row r="68" spans="1:19" x14ac:dyDescent="0.2">
      <c r="A68" s="91"/>
      <c r="B68" s="95" t="str">
        <f>'[1]Parameters List'!B68</f>
        <v># FFT bins for noise estimation (one side)</v>
      </c>
      <c r="C68" s="67">
        <f>ROUND((($C$201-1)/2*$C$197/$C$199)*(C$52/C$51),0)</f>
        <v>12</v>
      </c>
      <c r="D68" s="67">
        <f>ROUND((($C$201-1)/2*$C$197/$C$199)*(D$52/D$51),0)</f>
        <v>20</v>
      </c>
      <c r="F68" s="43"/>
      <c r="G68" s="43"/>
      <c r="H68" s="43"/>
      <c r="I68" s="43"/>
      <c r="J68" s="43"/>
      <c r="K68" s="43"/>
      <c r="L68" s="43"/>
      <c r="M68" s="43"/>
      <c r="N68" s="43"/>
      <c r="O68" s="43"/>
      <c r="P68" s="43"/>
      <c r="Q68" s="43"/>
      <c r="R68" s="43"/>
      <c r="S68" s="43"/>
    </row>
    <row r="69" spans="1:19" x14ac:dyDescent="0.2">
      <c r="A69" s="91"/>
      <c r="B69" s="95" t="str">
        <f>'[1]Parameters List'!B69</f>
        <v># FFT bins of clutter margin (one side)</v>
      </c>
      <c r="C69" s="67">
        <f>C$57/C$65</f>
        <v>8.3151360000000007</v>
      </c>
      <c r="D69" s="67">
        <f>D$57/D$65</f>
        <v>6.1348479999999999</v>
      </c>
      <c r="F69" s="43"/>
      <c r="G69" s="43"/>
      <c r="H69" s="43"/>
      <c r="I69" s="43"/>
      <c r="J69" s="43"/>
      <c r="K69" s="43"/>
      <c r="L69" s="43"/>
      <c r="M69" s="43"/>
      <c r="N69" s="43"/>
      <c r="O69" s="43"/>
      <c r="P69" s="43"/>
      <c r="Q69" s="43"/>
      <c r="R69" s="43"/>
      <c r="S69" s="43"/>
    </row>
    <row r="70" spans="1:19" x14ac:dyDescent="0.2">
      <c r="A70" s="91"/>
      <c r="B70" s="95" t="str">
        <f>'[1]Parameters List'!B70</f>
        <v># FFT bins to min velocity</v>
      </c>
      <c r="C70" s="67">
        <f>FLOOR(C$58/C$65,1)</f>
        <v>0</v>
      </c>
      <c r="D70" s="67">
        <f>FLOOR(D$58/D$65,1)</f>
        <v>0</v>
      </c>
      <c r="F70" s="43"/>
      <c r="G70" s="43"/>
      <c r="H70" s="43"/>
      <c r="I70" s="43"/>
      <c r="J70" s="43"/>
      <c r="K70" s="43"/>
      <c r="L70" s="43"/>
      <c r="M70" s="43"/>
      <c r="N70" s="43"/>
      <c r="O70" s="43"/>
      <c r="P70" s="43"/>
      <c r="Q70" s="43"/>
      <c r="R70" s="43"/>
      <c r="S70" s="43"/>
    </row>
    <row r="71" spans="1:19" x14ac:dyDescent="0.2">
      <c r="A71" s="91"/>
      <c r="B71" s="95" t="str">
        <f>'[1]Parameters List'!B71</f>
        <v># FFT bins to max velocity</v>
      </c>
      <c r="C71" s="67">
        <f>CEILING(C$59/C$65,1)</f>
        <v>2016</v>
      </c>
      <c r="D71" s="67">
        <f>CEILING(D$59/D$65,1)</f>
        <v>4</v>
      </c>
      <c r="F71" s="43"/>
      <c r="G71" s="43"/>
      <c r="H71" s="43"/>
      <c r="I71" s="43"/>
      <c r="J71" s="43"/>
      <c r="K71" s="43"/>
      <c r="L71" s="43"/>
      <c r="M71" s="43"/>
      <c r="N71" s="43"/>
      <c r="O71" s="43"/>
      <c r="P71" s="43"/>
      <c r="Q71" s="43"/>
      <c r="R71" s="43"/>
      <c r="S71" s="43"/>
    </row>
    <row r="72" spans="1:19" x14ac:dyDescent="0.2">
      <c r="A72" s="91" t="s">
        <v>81</v>
      </c>
      <c r="B72" s="95" t="str">
        <f>'[1]Parameters List'!B72</f>
        <v>Noise Mask (example: '-13,-4,4,13)</v>
      </c>
      <c r="C72" s="67" t="str">
        <f>CONCATENATE(TEXT(-C$68-C$67,"0"),",",TEXT(-C$67-1,"0"),",",TEXT(C$67+1,"0"),",",TEXT(C$68+C$67,"0"))</f>
        <v>-16,-5,5,16</v>
      </c>
      <c r="D72" s="67" t="str">
        <f>CONCATENATE(TEXT(-D$68-D$67,"0"),",",TEXT(-D$67-1,"0"),",",TEXT(D$67+1,"0"),",",TEXT(D$68+D$67,"0"))</f>
        <v>-26,-7,7,26</v>
      </c>
      <c r="F72" s="43"/>
      <c r="G72" s="43"/>
      <c r="H72" s="43"/>
      <c r="I72" s="43"/>
      <c r="J72" s="43"/>
      <c r="K72" s="43"/>
      <c r="L72" s="43"/>
      <c r="M72" s="43"/>
      <c r="N72" s="43"/>
      <c r="O72" s="43"/>
      <c r="P72" s="43"/>
      <c r="Q72" s="43"/>
      <c r="R72" s="43"/>
      <c r="S72" s="43"/>
    </row>
    <row r="73" spans="1:19" x14ac:dyDescent="0.2">
      <c r="A73" s="91" t="s">
        <v>81</v>
      </c>
      <c r="B73" s="94" t="str">
        <f>'[1]Parameters List'!B73</f>
        <v>Options (see Options List sheet)</v>
      </c>
      <c r="C73" s="101" t="s">
        <v>501</v>
      </c>
      <c r="D73" s="101" t="s">
        <v>86</v>
      </c>
      <c r="F73" s="43"/>
      <c r="G73" s="43"/>
      <c r="H73" s="43"/>
      <c r="I73" s="43"/>
      <c r="J73" s="43"/>
      <c r="K73" s="43"/>
      <c r="L73" s="43"/>
      <c r="M73" s="43"/>
      <c r="N73" s="43"/>
      <c r="O73" s="43"/>
      <c r="P73" s="43"/>
      <c r="Q73" s="43"/>
      <c r="R73" s="43"/>
      <c r="S73" s="43"/>
    </row>
    <row r="74" spans="1:19" x14ac:dyDescent="0.2">
      <c r="A74" s="91" t="s">
        <v>81</v>
      </c>
      <c r="B74" s="94" t="str">
        <f>'[1]Parameters List'!B74</f>
        <v>SNR Threshold (dB)</v>
      </c>
      <c r="C74" s="73">
        <v>10</v>
      </c>
      <c r="D74" s="73">
        <v>14</v>
      </c>
      <c r="F74" s="43"/>
      <c r="G74" s="43"/>
      <c r="H74" s="43"/>
      <c r="I74" s="43"/>
      <c r="J74" s="43"/>
      <c r="K74" s="43"/>
      <c r="L74" s="43"/>
      <c r="M74" s="43"/>
      <c r="N74" s="43"/>
      <c r="O74" s="43"/>
      <c r="P74" s="43"/>
      <c r="Q74" s="43"/>
      <c r="R74" s="43"/>
      <c r="S74" s="43"/>
    </row>
    <row r="75" spans="1:19" x14ac:dyDescent="0.2">
      <c r="A75" s="91"/>
      <c r="B75" s="80" t="str">
        <f>'[1]Parameters List'!B75</f>
        <v>Probability of False Alarm</v>
      </c>
      <c r="C75" s="70">
        <f>pf_PD_PFA_CFAR("pfa", C$74, C$120, C$121, C$68*2, 1)</f>
        <v>2.3419401494640269E-4</v>
      </c>
      <c r="D75" s="70">
        <f>pf_PD_PFA_CFAR("pfa", D$74, D$120, D$121, D$68*2, 1)</f>
        <v>3.4207941610994112E-9</v>
      </c>
      <c r="F75" s="43"/>
      <c r="G75" s="43"/>
      <c r="H75" s="43"/>
      <c r="I75" s="43"/>
      <c r="J75" s="43"/>
      <c r="K75" s="43"/>
      <c r="L75" s="43"/>
      <c r="M75" s="43"/>
      <c r="N75" s="43"/>
      <c r="O75" s="43"/>
      <c r="P75" s="43"/>
      <c r="Q75" s="43"/>
      <c r="R75" s="43"/>
      <c r="S75" s="43"/>
    </row>
    <row r="76" spans="1:19" x14ac:dyDescent="0.2">
      <c r="A76" s="91"/>
      <c r="B76" s="80" t="str">
        <f>'[1]Parameters List'!B76</f>
        <v>Probability of False Alarm per CPI</v>
      </c>
      <c r="C76" s="70">
        <f>C$75*C$52*C$53</f>
        <v>44.125899520141409</v>
      </c>
      <c r="D76" s="70">
        <f>D$75*D$52*D$53</f>
        <v>0</v>
      </c>
      <c r="F76" s="43"/>
      <c r="G76" s="43"/>
      <c r="H76" s="43"/>
      <c r="I76" s="43"/>
      <c r="J76" s="43"/>
      <c r="K76" s="43"/>
      <c r="L76" s="43"/>
      <c r="M76" s="43"/>
      <c r="N76" s="43"/>
      <c r="O76" s="43"/>
      <c r="P76" s="43"/>
      <c r="Q76" s="43"/>
      <c r="R76" s="43"/>
      <c r="S76" s="43"/>
    </row>
    <row r="77" spans="1:19" x14ac:dyDescent="0.2">
      <c r="A77" s="91"/>
      <c r="B77" s="80" t="str">
        <f>'[1]Parameters List'!B77</f>
        <v>Probability of False Alarm per SEC</v>
      </c>
      <c r="C77" s="70">
        <f>C$76/(C$30/1000)</f>
        <v>178.95223733446051</v>
      </c>
      <c r="D77" s="70">
        <f>D$76/(D$30/1000)</f>
        <v>0</v>
      </c>
      <c r="F77" s="43"/>
      <c r="G77" s="43"/>
      <c r="H77" s="43"/>
      <c r="I77" s="43"/>
      <c r="J77" s="43"/>
      <c r="K77" s="43"/>
      <c r="L77" s="43"/>
      <c r="M77" s="43"/>
      <c r="N77" s="43"/>
      <c r="O77" s="43"/>
      <c r="P77" s="43"/>
      <c r="Q77" s="43"/>
      <c r="R77" s="43"/>
      <c r="S77" s="43"/>
    </row>
    <row r="78" spans="1:19" x14ac:dyDescent="0.2">
      <c r="A78" s="91"/>
      <c r="B78" s="94" t="str">
        <f>'[1]Parameters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'[1]Parameters List'!B79</f>
        <v>STC Init Range (m)</v>
      </c>
      <c r="C79" s="70">
        <f>10^((40*LOG10(C$44)-(C$78-C$99)) / 40)</f>
        <v>4277.9519821594358</v>
      </c>
      <c r="D79" s="70">
        <f>10^((40*LOG10(D$44)-(D$78-D$99)) / 40)</f>
        <v>1227.1934978871163</v>
      </c>
      <c r="F79" s="43"/>
      <c r="G79" s="43"/>
      <c r="H79" s="43"/>
      <c r="I79" s="43"/>
      <c r="J79" s="43"/>
      <c r="K79" s="43"/>
      <c r="L79" s="43"/>
      <c r="M79" s="43"/>
      <c r="N79" s="43"/>
      <c r="O79" s="43"/>
      <c r="P79" s="43"/>
      <c r="Q79" s="43"/>
      <c r="R79" s="43"/>
      <c r="S79" s="43"/>
    </row>
    <row r="80" spans="1:19" x14ac:dyDescent="0.2">
      <c r="A80" s="91"/>
      <c r="B80" s="94" t="str">
        <f>'[1]Parameters List'!B80</f>
        <v>Tapered Array (0/1)</v>
      </c>
      <c r="C80" s="101">
        <v>0</v>
      </c>
      <c r="D80" s="101">
        <v>0</v>
      </c>
      <c r="F80" s="43"/>
      <c r="G80" s="43"/>
      <c r="H80" s="43"/>
      <c r="I80" s="43"/>
      <c r="J80" s="43"/>
      <c r="K80" s="43"/>
      <c r="L80" s="43"/>
      <c r="M80" s="43"/>
      <c r="N80" s="43"/>
      <c r="O80" s="43"/>
      <c r="P80" s="43"/>
      <c r="Q80" s="43"/>
      <c r="R80" s="43"/>
      <c r="S80" s="43"/>
    </row>
    <row r="81" spans="1:19" x14ac:dyDescent="0.2">
      <c r="A81" s="91"/>
      <c r="B81" s="94" t="str">
        <f>'[1]Parameters List'!B81</f>
        <v>AGC Set (1-6)</v>
      </c>
      <c r="C81" s="101">
        <v>3</v>
      </c>
      <c r="D81" s="101">
        <v>1</v>
      </c>
      <c r="F81" s="43"/>
      <c r="G81" s="43"/>
      <c r="H81" s="43"/>
      <c r="I81" s="43"/>
      <c r="J81" s="43"/>
      <c r="K81" s="43"/>
      <c r="L81" s="43"/>
      <c r="M81" s="43"/>
      <c r="N81" s="43"/>
      <c r="O81" s="43"/>
      <c r="P81" s="43"/>
      <c r="Q81" s="43"/>
      <c r="R81" s="43"/>
      <c r="S81" s="43"/>
    </row>
    <row r="82" spans="1:19" x14ac:dyDescent="0.2">
      <c r="A82" s="91"/>
      <c r="B82" s="95" t="str">
        <f>'[1]Parameters List'!B82</f>
        <v>RF AGC (dB) - 1st Rx</v>
      </c>
      <c r="C82" s="67">
        <f>VLOOKUP(C$81,'[1]AGC Set Table'!$A$3:$K$9,2,FALSE)</f>
        <v>0</v>
      </c>
      <c r="D82" s="67">
        <f>VLOOKUP(D$81,'[1]AGC Set Table'!$A$3:$K$9,2,FALSE)</f>
        <v>0</v>
      </c>
      <c r="F82" s="43"/>
      <c r="G82" s="43"/>
      <c r="H82" s="43"/>
      <c r="I82" s="43"/>
      <c r="J82" s="43"/>
      <c r="K82" s="43"/>
      <c r="L82" s="43"/>
      <c r="M82" s="43"/>
      <c r="N82" s="43"/>
      <c r="O82" s="43"/>
      <c r="P82" s="43"/>
      <c r="Q82" s="43"/>
      <c r="R82" s="43"/>
      <c r="S82" s="43"/>
    </row>
    <row r="83" spans="1:19" x14ac:dyDescent="0.2">
      <c r="A83" s="91"/>
      <c r="B83" s="95" t="str">
        <f>'[1]Parameters List'!B83</f>
        <v>IF AGC (dB) - 1st Rx</v>
      </c>
      <c r="C83" s="67">
        <f>VLOOKUP(C$81,'[1]AGC Set Table'!$A$3:$K$9,3,FALSE)</f>
        <v>25</v>
      </c>
      <c r="D83" s="67">
        <f>VLOOKUP(D$81,'[1]AGC Set Table'!$A$3:$K$9,3,FALSE)</f>
        <v>15</v>
      </c>
      <c r="F83" s="43"/>
      <c r="G83" s="43"/>
      <c r="H83" s="43"/>
      <c r="I83" s="43"/>
      <c r="J83" s="43"/>
      <c r="K83" s="43"/>
      <c r="L83" s="43"/>
      <c r="M83" s="43"/>
      <c r="N83" s="43"/>
      <c r="O83" s="43"/>
      <c r="P83" s="43"/>
      <c r="Q83" s="43"/>
      <c r="R83" s="43"/>
      <c r="S83" s="43"/>
    </row>
    <row r="84" spans="1:19" x14ac:dyDescent="0.2">
      <c r="A84" s="91"/>
      <c r="B84" s="95" t="str">
        <f>'[1]Parameters List'!B84</f>
        <v>RF AGC (dB) - Ref Rx</v>
      </c>
      <c r="C84" s="67">
        <f>VLOOKUP(C$81,'[1]AGC Set Table'!$A$3:$K$9,8,FALSE)</f>
        <v>0</v>
      </c>
      <c r="D84" s="67">
        <f>VLOOKUP(D$81,'[1]AGC Set Table'!$A$3:$K$9,8,FALSE)</f>
        <v>0</v>
      </c>
      <c r="F84" s="43"/>
      <c r="G84" s="43"/>
      <c r="H84" s="43"/>
      <c r="I84" s="43"/>
      <c r="J84" s="43"/>
      <c r="K84" s="43"/>
      <c r="L84" s="43"/>
      <c r="M84" s="43"/>
      <c r="N84" s="43"/>
      <c r="O84" s="43"/>
      <c r="P84" s="43"/>
      <c r="Q84" s="43"/>
      <c r="R84" s="43"/>
      <c r="S84" s="43"/>
    </row>
    <row r="85" spans="1:19" x14ac:dyDescent="0.2">
      <c r="A85" s="91"/>
      <c r="B85" s="95" t="str">
        <f>'[1]Parameters List'!B85</f>
        <v>IF AGC (dB) - Ref Rx</v>
      </c>
      <c r="C85" s="67">
        <f>VLOOKUP(C$81,'[1]AGC Set Table'!$A$3:$K$9,9,FALSE)</f>
        <v>5</v>
      </c>
      <c r="D85" s="67">
        <f>VLOOKUP(D$81,'[1]AGC Set Table'!$A$3:$K$9,9,FALSE)</f>
        <v>5</v>
      </c>
      <c r="F85" s="43"/>
      <c r="G85" s="43"/>
      <c r="H85" s="43"/>
      <c r="I85" s="43"/>
      <c r="J85" s="43"/>
      <c r="K85" s="43"/>
      <c r="L85" s="43"/>
      <c r="M85" s="43"/>
      <c r="N85" s="43"/>
      <c r="O85" s="43"/>
      <c r="P85" s="43"/>
      <c r="Q85" s="43"/>
      <c r="R85" s="43"/>
      <c r="S85" s="43"/>
    </row>
    <row r="86" spans="1:19" x14ac:dyDescent="0.2">
      <c r="A86" s="91"/>
      <c r="B86" s="95" t="str">
        <f>'[1]Parameters List'!B86</f>
        <v>NF @ADCout (dB) - 1st Rx</v>
      </c>
      <c r="C86" s="67">
        <f>VLOOKUP(C$81,'[1]AGC Set Table'!$A$3:$K$9,IF(C$80=0,6,IF(C$80=1,7)),FALSE)</f>
        <v>4.1399999999999997</v>
      </c>
      <c r="D86" s="67">
        <f>VLOOKUP(D$81,'[1]AGC Set Table'!$A$3:$K$9,IF(D$80=0,6,IF(D$80=1,7)),FALSE)</f>
        <v>2.75</v>
      </c>
      <c r="F86" s="43"/>
      <c r="G86" s="43"/>
      <c r="H86" s="43"/>
      <c r="I86" s="43"/>
      <c r="J86" s="43"/>
      <c r="K86" s="43"/>
      <c r="L86" s="43"/>
      <c r="M86" s="43"/>
      <c r="N86" s="43"/>
      <c r="O86" s="43"/>
      <c r="P86" s="43"/>
      <c r="Q86" s="43"/>
      <c r="R86" s="43"/>
      <c r="S86" s="43"/>
    </row>
    <row r="87" spans="1:19" x14ac:dyDescent="0.2">
      <c r="A87" s="91"/>
      <c r="B87" s="95" t="str">
        <f>'[1]Parameters List'!B87</f>
        <v>NF @ADCout (dB) - Ref Rx</v>
      </c>
      <c r="C87" s="67">
        <f>VLOOKUP(C$81,'[1]AGC Set Table'!$A$3:$K$9,11,FALSE)</f>
        <v>2.5299999999999998</v>
      </c>
      <c r="D87" s="67">
        <f>VLOOKUP(D$81,'[1]AGC Set Table'!$A$3:$K$9,11,FALSE)</f>
        <v>2.5299999999999998</v>
      </c>
      <c r="F87" s="43"/>
      <c r="G87" s="43"/>
      <c r="H87" s="43"/>
      <c r="I87" s="43"/>
      <c r="J87" s="43"/>
      <c r="K87" s="43"/>
      <c r="L87" s="43"/>
      <c r="M87" s="43"/>
      <c r="N87" s="43"/>
      <c r="O87" s="43"/>
      <c r="P87" s="43"/>
      <c r="Q87" s="43"/>
      <c r="R87" s="43"/>
      <c r="S87" s="43"/>
    </row>
    <row r="88" spans="1:19" x14ac:dyDescent="0.2">
      <c r="A88" s="91" t="s">
        <v>81</v>
      </c>
      <c r="B88" s="94" t="str">
        <f>'[1]Parameters List'!B88</f>
        <v>RCS (m^2)</v>
      </c>
      <c r="C88" s="74">
        <v>0.2</v>
      </c>
      <c r="D88" s="74">
        <v>0.1</v>
      </c>
      <c r="F88" s="43"/>
      <c r="G88" s="43"/>
      <c r="H88" s="43"/>
      <c r="I88" s="43"/>
      <c r="J88" s="43"/>
      <c r="K88" s="43"/>
      <c r="L88" s="43"/>
      <c r="M88" s="43"/>
      <c r="N88" s="43"/>
      <c r="O88" s="43"/>
      <c r="P88" s="43"/>
      <c r="Q88" s="43"/>
      <c r="R88" s="43"/>
      <c r="S88" s="43"/>
    </row>
    <row r="89" spans="1:19" x14ac:dyDescent="0.2">
      <c r="A89" s="91"/>
      <c r="B89" s="95" t="str">
        <f>'[1]Parameters List'!B89</f>
        <v>σ(dB/m2)</v>
      </c>
      <c r="C89" s="67">
        <f>10*LOG10(C$88)</f>
        <v>-6.9897000433601875</v>
      </c>
      <c r="D89" s="67">
        <f>10*LOG10(D$88)</f>
        <v>-10</v>
      </c>
      <c r="F89" s="43"/>
      <c r="G89" s="43"/>
      <c r="H89" s="43"/>
      <c r="I89" s="43"/>
      <c r="J89" s="43"/>
      <c r="K89" s="43"/>
      <c r="L89" s="43"/>
      <c r="M89" s="43"/>
      <c r="N89" s="43"/>
      <c r="O89" s="43"/>
      <c r="P89" s="43"/>
      <c r="Q89" s="43"/>
      <c r="R89" s="43"/>
      <c r="S89" s="43"/>
    </row>
    <row r="90" spans="1:19" x14ac:dyDescent="0.2">
      <c r="A90" s="91"/>
      <c r="B90" s="80" t="str">
        <f>'[1]Parameters List'!B90</f>
        <v>Tgt min range @ADCin (dBm) - Ref. Rx</v>
      </c>
      <c r="C90" s="70">
        <f>$C$185+$C$186+$C$188+C$89+$C$189-$C$190-40*LOG10(C$43)+$C$171-C$84-C$85-$C$179*(C$80=1)</f>
        <v>-53.426740114089085</v>
      </c>
      <c r="D90" s="70">
        <f>$C$185+$C$186+$C$188+D$89+$C$189-$C$190-40*LOG10(D$43)+$C$171-D$84-D$85-$C$179*(D$80=1)</f>
        <v>-43.739778186332956</v>
      </c>
      <c r="F90" s="43"/>
      <c r="G90" s="43"/>
      <c r="H90" s="43"/>
      <c r="I90" s="43"/>
      <c r="J90" s="43"/>
      <c r="K90" s="43"/>
      <c r="L90" s="43"/>
      <c r="M90" s="43"/>
      <c r="N90" s="43"/>
      <c r="O90" s="43"/>
      <c r="P90" s="43"/>
      <c r="Q90" s="43"/>
      <c r="R90" s="43"/>
      <c r="S90" s="43"/>
    </row>
    <row r="91" spans="1:19" x14ac:dyDescent="0.2">
      <c r="A91" s="91"/>
      <c r="B91" s="80" t="str">
        <f>'[1]Parameters List'!B91</f>
        <v>Tgt max range @ADCin (dBm) - Ref. Rx</v>
      </c>
      <c r="C91" s="70">
        <f>$C$185+$C$186+$C$188+C$89+$C$189-$C$190-40*LOG10(C$44)+$C$171-C$84-C$85-$C$179*(C$80=1)</f>
        <v>-70.465211024874947</v>
      </c>
      <c r="D91" s="70">
        <f>$C$185+$C$186+$C$188+D$89+$C$189-$C$190-40*LOG10(D$44)+$C$171-D$84-D$85-$C$179*(D$80=1)</f>
        <v>-59.922601689174996</v>
      </c>
      <c r="F91" s="43"/>
      <c r="G91" s="43"/>
      <c r="H91" s="43"/>
      <c r="I91" s="43"/>
      <c r="J91" s="43"/>
      <c r="K91" s="43"/>
      <c r="L91" s="43"/>
      <c r="M91" s="43"/>
      <c r="N91" s="43"/>
      <c r="O91" s="43"/>
      <c r="P91" s="43"/>
      <c r="Q91" s="43"/>
      <c r="R91" s="43"/>
      <c r="S91" s="43"/>
    </row>
    <row r="92" spans="1:19" x14ac:dyDescent="0.2">
      <c r="A92" s="91"/>
      <c r="B92" s="95" t="str">
        <f>'[1]Parameters List'!B92</f>
        <v>1st Rx Noise @ADCout (dBm/bin)</v>
      </c>
      <c r="C92" s="67">
        <f>C$86+$C$173+$C$171-C$84-C$85+10*LOG10($C$175*10^6)-$C$178*(C$80=1)+10*LOG10($C$156/$C$157)</f>
        <v>-34.839400086720389</v>
      </c>
      <c r="D92" s="67">
        <f>D$86+$C$173+$C$171-D$84-D$85+10*LOG10($C$175*10^6)-$C$178*(D$80=1)+10*LOG10($C$156/$C$157)</f>
        <v>-36.229400086720375</v>
      </c>
      <c r="F92" s="43"/>
      <c r="G92" s="43"/>
      <c r="H92" s="43"/>
      <c r="I92" s="43"/>
      <c r="J92" s="43"/>
      <c r="K92" s="43"/>
      <c r="L92" s="43"/>
      <c r="M92" s="43"/>
      <c r="N92" s="43"/>
      <c r="O92" s="43"/>
      <c r="P92" s="43"/>
      <c r="Q92" s="43"/>
      <c r="R92" s="43"/>
      <c r="S92" s="43"/>
    </row>
    <row r="93" spans="1:19" x14ac:dyDescent="0.2">
      <c r="A93" s="91"/>
      <c r="B93" s="95" t="str">
        <f>'[1]Parameters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'[1]Parameters List'!B94</f>
        <v>Total Noise @ADCout (dBm/bin)</v>
      </c>
      <c r="C94" s="67">
        <f>10*LOG10(10^((C$93 + 10*LOG10($C$157))/10) + 10^((C$92 + 10*LOG10(($C$182-$C$157) / $C$156))/10))+ (10*LOG10(C$34) - C$35) * (C$34&gt;1)</f>
        <v>-28.74449759340315</v>
      </c>
      <c r="D94" s="67">
        <f>10*LOG10(10^((D$93 + 10*LOG10($C$157))/10) + 10^((D$92 + 10*LOG10(($C$182-$C$157) / $C$156))/10))+ (10*LOG10(D$34) - D$35) * (D$34&gt;1)</f>
        <v>-30.106796884948185</v>
      </c>
      <c r="F94" s="43"/>
      <c r="G94" s="43"/>
      <c r="H94" s="43"/>
      <c r="I94" s="43"/>
      <c r="J94" s="43"/>
      <c r="K94" s="43"/>
      <c r="L94" s="43"/>
      <c r="M94" s="43"/>
      <c r="N94" s="43"/>
      <c r="O94" s="43"/>
      <c r="P94" s="43"/>
      <c r="Q94" s="43"/>
      <c r="R94" s="43"/>
      <c r="S94" s="43"/>
    </row>
    <row r="95" spans="1:19" x14ac:dyDescent="0.2">
      <c r="A95" s="91" t="s">
        <v>81</v>
      </c>
      <c r="B95" s="95" t="str">
        <f>'[1]Parameters List'!B95</f>
        <v>Rx Processing Gain (dB)</v>
      </c>
      <c r="C95" s="67">
        <f>10*LOG10(C$46/2 * C$48 * C$51 * C$49) - $C$195</f>
        <v>61.025445376501992</v>
      </c>
      <c r="D95" s="67">
        <f>10*LOG10(D$46/2 * D$48 * D$51 * D$49) - $C$195</f>
        <v>40.922445810103866</v>
      </c>
      <c r="F95" s="43"/>
      <c r="G95" s="43"/>
      <c r="H95" s="43"/>
      <c r="I95" s="43"/>
      <c r="J95" s="43"/>
      <c r="K95" s="43"/>
      <c r="L95" s="43"/>
      <c r="M95" s="43"/>
      <c r="N95" s="43"/>
      <c r="O95" s="43"/>
      <c r="P95" s="43"/>
      <c r="Q95" s="43"/>
      <c r="R95" s="43"/>
      <c r="S95" s="43"/>
    </row>
    <row r="96" spans="1:19" x14ac:dyDescent="0.2">
      <c r="A96" s="91"/>
      <c r="B96" s="95" t="str">
        <f>'[1]Parameters List'!B96</f>
        <v>Total Processing Gain (dB)</v>
      </c>
      <c r="C96" s="67">
        <f>C$95 + 20*LOG10($C$182) + (20*LOG10(C$34) - 2 * C$35) * (C$34&gt;1)-$C$179*(C$80=1)-$C$177*(C$80=1)</f>
        <v>93.281122510896694</v>
      </c>
      <c r="D96" s="67">
        <f>D$95 + 20*LOG10($C$182) + (20*LOG10(D$34) - 2 * D$35) * (D$34&gt;1)-$C$179*(D$80=1)-$C$177*(D$80=1)</f>
        <v>73.178122944498568</v>
      </c>
      <c r="F96" s="43"/>
      <c r="G96" s="43"/>
      <c r="H96" s="43"/>
      <c r="I96" s="43"/>
      <c r="J96" s="43"/>
      <c r="K96" s="43"/>
      <c r="L96" s="43"/>
      <c r="M96" s="43"/>
      <c r="N96" s="43"/>
      <c r="O96" s="43"/>
      <c r="P96" s="43"/>
      <c r="Q96" s="43"/>
      <c r="R96" s="43"/>
      <c r="S96" s="43"/>
    </row>
    <row r="97" spans="1:19" x14ac:dyDescent="0.2">
      <c r="A97" s="92"/>
      <c r="B97" s="95" t="str">
        <f>'[1]Parameters List'!B97</f>
        <v>Total Loss (dB)</v>
      </c>
      <c r="C97" s="67">
        <f>$C$191 + ($C$202*(C$47=0)+$C$203*(C$47=1)+$C$198) + C$61 + C$64</f>
        <v>1.7209182251185999</v>
      </c>
      <c r="D97" s="67">
        <f>$C$191 + ($C$202*(D$47=0)+$C$203*(D$47=1)+$C$198) + D$61 + D$64</f>
        <v>1.6628323922311923</v>
      </c>
    </row>
    <row r="98" spans="1:19" x14ac:dyDescent="0.2">
      <c r="A98" s="91"/>
      <c r="B98" s="80" t="str">
        <f>'[1]Parameters List'!B98</f>
        <v>SNR min range (dB)</v>
      </c>
      <c r="C98" s="70">
        <f>C$90+C$96-C$94-C$97</f>
        <v>66.877961765092167</v>
      </c>
      <c r="D98" s="70">
        <f>D$90+D$96-D$94-D$97</f>
        <v>57.882309250882599</v>
      </c>
      <c r="F98" s="43"/>
      <c r="G98" s="43"/>
      <c r="H98" s="43"/>
      <c r="I98" s="43"/>
      <c r="J98" s="43"/>
      <c r="K98" s="43"/>
      <c r="L98" s="43"/>
      <c r="M98" s="43"/>
      <c r="N98" s="43"/>
      <c r="O98" s="43"/>
      <c r="P98" s="43"/>
      <c r="Q98" s="43"/>
      <c r="R98" s="43"/>
      <c r="S98" s="43"/>
    </row>
    <row r="99" spans="1:19" x14ac:dyDescent="0.2">
      <c r="A99" s="91"/>
      <c r="B99" s="80" t="str">
        <f>'[1]Parameters List'!B99</f>
        <v>SNR max range (dB)</v>
      </c>
      <c r="C99" s="70">
        <f>C$91+C$96-C$94-C$97</f>
        <v>49.839490854306298</v>
      </c>
      <c r="D99" s="70">
        <f>D$91+D$96-D$94-D$97</f>
        <v>41.699485748040559</v>
      </c>
      <c r="F99" s="43"/>
      <c r="G99" s="43"/>
      <c r="H99" s="43"/>
      <c r="I99" s="43"/>
      <c r="J99" s="43"/>
      <c r="K99" s="43"/>
      <c r="L99" s="43"/>
      <c r="M99" s="43"/>
      <c r="N99" s="43"/>
      <c r="O99" s="43"/>
      <c r="P99" s="43"/>
      <c r="Q99" s="43"/>
      <c r="R99" s="43"/>
      <c r="S99" s="43"/>
    </row>
    <row r="100" spans="1:19" x14ac:dyDescent="0.2">
      <c r="A100" s="91"/>
      <c r="B100" s="95" t="str">
        <f>'[1]Parameters List'!B100</f>
        <v>Duty cycle per beam</v>
      </c>
      <c r="C100" s="67">
        <f>C$36/$C$104</f>
        <v>0.25913621262458475</v>
      </c>
      <c r="D100" s="67">
        <f>D$36/$C$104</f>
        <v>0.12956810631229237</v>
      </c>
      <c r="F100" s="43"/>
      <c r="G100" s="43"/>
      <c r="H100" s="43"/>
      <c r="I100" s="43"/>
      <c r="J100" s="43"/>
      <c r="K100" s="43"/>
      <c r="L100" s="43"/>
      <c r="M100" s="43"/>
      <c r="N100" s="43"/>
      <c r="O100" s="43"/>
      <c r="P100" s="43"/>
      <c r="Q100" s="43"/>
      <c r="R100" s="43"/>
      <c r="S100" s="43"/>
    </row>
    <row r="101" spans="1:19" x14ac:dyDescent="0.2">
      <c r="A101" s="91"/>
      <c r="B101" s="95" t="str">
        <f>'[1]Parameters List'!B101</f>
        <v>Buffer size (KB)</v>
      </c>
      <c r="C101" s="67">
        <f>MROUND((IF(C$21, $C$210*$C$155, C$54)*C$51*8+64)/1024,4)</f>
        <v>2400</v>
      </c>
      <c r="D101" s="67">
        <f>MROUND((IF(D$21, $C$210*$C$155, D$54)*D$51*8+64)/1024,4)</f>
        <v>0</v>
      </c>
      <c r="F101" s="43"/>
      <c r="G101" s="43"/>
      <c r="H101" s="43"/>
      <c r="I101" s="43"/>
      <c r="J101" s="43"/>
      <c r="K101" s="43"/>
      <c r="L101" s="43"/>
      <c r="M101" s="43"/>
      <c r="N101" s="43"/>
      <c r="O101" s="43"/>
      <c r="P101" s="43"/>
      <c r="Q101" s="43"/>
      <c r="R101" s="43"/>
      <c r="S101" s="43"/>
    </row>
    <row r="102" spans="1:19" x14ac:dyDescent="0.2">
      <c r="A102" s="91"/>
      <c r="B102" s="95" t="str">
        <f>'[1]Parameters List'!B102</f>
        <v>PCIe Rate MB/s</v>
      </c>
      <c r="C102" s="67">
        <f>C$101*1024/C$30/1024</f>
        <v>9.7331810631229239</v>
      </c>
      <c r="D102" s="67">
        <f>D$101*1024/D$30/1024</f>
        <v>0</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'[1]Parameters List'!B104</f>
        <v>Total PRI (μs)</v>
      </c>
      <c r="C104" s="77">
        <f>(SUMIF($E$13:$AJ$13,"=1",$E$18:$AJ$18)*C$46+SUMIF($E$13:$AJ$13,"=2",$E$18:$AJ$18)*D$46)*$C$174+$C$208+COUNTIFS(E$13:AJ$13,"=1",E$15:AJ$15,"=1") * C$32 + COUNTIFS(E$13:AJ$13,"=1",E$15:AJ$15,"=2") * C$33 + COUNTIFS(E$13:AJ$13,"=2",E$15:AJ$15,"=1") * D$32 + COUNTIFS(E$13:AJ$13,"=2",E$15:AJ$15,"=2") * D$33</f>
        <v>30.1</v>
      </c>
      <c r="F104" s="43"/>
      <c r="G104" s="43"/>
      <c r="H104" s="43"/>
      <c r="I104" s="43"/>
      <c r="J104" s="43"/>
      <c r="K104" s="43"/>
      <c r="L104" s="43"/>
      <c r="M104" s="43"/>
      <c r="N104" s="43"/>
      <c r="O104" s="43"/>
      <c r="P104" s="43"/>
      <c r="Q104" s="43"/>
      <c r="R104" s="43"/>
      <c r="S104" s="43"/>
    </row>
    <row r="105" spans="1:19" x14ac:dyDescent="0.2">
      <c r="B105" s="76" t="str">
        <f>'[1]Parameters List'!B105</f>
        <v>Unambiguous Range (km)</v>
      </c>
      <c r="C105" s="77">
        <f>$C$104*$C$163/1000</f>
        <v>4.5118764929000008</v>
      </c>
      <c r="F105" s="43"/>
      <c r="G105" s="43"/>
      <c r="H105" s="43"/>
      <c r="I105" s="43"/>
      <c r="J105" s="43"/>
      <c r="K105" s="43"/>
      <c r="L105" s="43"/>
      <c r="M105" s="43"/>
      <c r="N105" s="43"/>
      <c r="O105" s="43"/>
      <c r="P105" s="43"/>
      <c r="Q105" s="43"/>
      <c r="R105" s="43"/>
      <c r="S105" s="43"/>
    </row>
    <row r="106" spans="1:19" x14ac:dyDescent="0.2">
      <c r="B106" s="76" t="str">
        <f>'[1]Parameters List'!B106</f>
        <v>Total PRF (kHz)</v>
      </c>
      <c r="C106" s="77">
        <f>1000/$C$104</f>
        <v>33.222591362126245</v>
      </c>
      <c r="F106" s="43"/>
      <c r="G106" s="43"/>
      <c r="H106" s="43"/>
      <c r="I106" s="43"/>
      <c r="J106" s="43"/>
      <c r="K106" s="43"/>
      <c r="L106" s="43"/>
      <c r="M106" s="43"/>
      <c r="N106" s="43"/>
      <c r="O106" s="43"/>
      <c r="P106" s="43"/>
      <c r="Q106" s="43"/>
      <c r="R106" s="43"/>
      <c r="S106" s="43"/>
    </row>
    <row r="107" spans="1:19" x14ac:dyDescent="0.2">
      <c r="B107" s="76" t="str">
        <f>'[1]Parameters List'!B107</f>
        <v>Folding (Blind) Velocity (m/s)</v>
      </c>
      <c r="C107" s="77">
        <f>1000*$C$106/$C$168</f>
        <v>1422.8403322259137</v>
      </c>
      <c r="F107" s="43"/>
      <c r="G107" s="43"/>
      <c r="H107" s="43"/>
      <c r="I107" s="43"/>
      <c r="J107" s="43"/>
      <c r="K107" s="43"/>
      <c r="L107" s="43"/>
      <c r="M107" s="43"/>
      <c r="N107" s="43"/>
      <c r="O107" s="43"/>
      <c r="P107" s="43"/>
      <c r="Q107" s="43"/>
      <c r="R107" s="43"/>
      <c r="S107" s="43"/>
    </row>
    <row r="108" spans="1:19" x14ac:dyDescent="0.2">
      <c r="B108" s="76" t="str">
        <f>'[1]Parameters List'!B108</f>
        <v>Max Trk Vr STD for Res Vel Amb (m/s)</v>
      </c>
      <c r="C108" s="77">
        <f>$C$107/4</f>
        <v>355.71008305647842</v>
      </c>
      <c r="F108" s="43"/>
      <c r="G108" s="43"/>
      <c r="H108" s="43"/>
      <c r="I108" s="43"/>
      <c r="J108" s="43"/>
      <c r="K108" s="43"/>
      <c r="L108" s="43"/>
      <c r="M108" s="43"/>
      <c r="N108" s="43"/>
      <c r="O108" s="43"/>
      <c r="P108" s="43"/>
      <c r="Q108" s="43"/>
      <c r="R108" s="43"/>
      <c r="S108" s="43"/>
    </row>
    <row r="109" spans="1:19" x14ac:dyDescent="0.2">
      <c r="B109" s="76" t="str">
        <f>'[1]Parameters List'!B109</f>
        <v>Antenna 1 PA Duty cycle</v>
      </c>
      <c r="C109" s="77">
        <f>C$100*IF(C$27&gt;0,C$27,C$26)+D$100*IF(D$27&gt;0,D$27,D$26)</f>
        <v>0.25913621262458475</v>
      </c>
      <c r="F109" s="43"/>
      <c r="G109" s="43"/>
      <c r="H109" s="43"/>
      <c r="I109" s="43"/>
      <c r="J109" s="43"/>
      <c r="K109" s="43"/>
      <c r="L109" s="43"/>
      <c r="M109" s="43"/>
      <c r="N109" s="43"/>
      <c r="O109" s="43"/>
      <c r="P109" s="43"/>
      <c r="Q109" s="43"/>
      <c r="R109" s="43"/>
      <c r="S109" s="43"/>
    </row>
    <row r="110" spans="1:19" x14ac:dyDescent="0.2">
      <c r="B110" s="76" t="str">
        <f>'[1]Parameters List'!B110</f>
        <v>Antenna 2 PA Duty cycle</v>
      </c>
      <c r="C110" s="77">
        <f>C$100*IF(C$28&gt;0,C$28,C$26)+D$100*IF(D$28&gt;0,D$28,D$26)</f>
        <v>0.25913621262458475</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'[1]Parameters List'!B112</f>
        <v>Tgt RCS (m^2):</v>
      </c>
      <c r="C112" s="74">
        <f>C88</f>
        <v>0.2</v>
      </c>
      <c r="D112" s="74">
        <v>0.1</v>
      </c>
      <c r="F112" s="43"/>
      <c r="G112" s="43"/>
      <c r="H112" s="43"/>
      <c r="I112" s="43"/>
      <c r="J112" s="43"/>
      <c r="K112" s="43"/>
      <c r="L112" s="43"/>
      <c r="M112" s="43"/>
      <c r="N112" s="43"/>
      <c r="O112" s="43"/>
      <c r="P112" s="43"/>
      <c r="Q112" s="43"/>
      <c r="R112" s="43"/>
      <c r="S112" s="43"/>
    </row>
    <row r="113" spans="2:19" x14ac:dyDescent="0.2">
      <c r="B113" s="78" t="str">
        <f>'[1]Parameters List'!B113</f>
        <v>SNR @ Range (m):</v>
      </c>
      <c r="C113" s="74">
        <f>C44</f>
        <v>3237.7896777000001</v>
      </c>
      <c r="D113" s="74">
        <f>$C$163*D$36 + D$41</f>
        <v>584.59529310000005</v>
      </c>
    </row>
    <row r="114" spans="2:19" x14ac:dyDescent="0.2">
      <c r="B114" s="79" t="str">
        <f>'[1]Parameters List'!B114</f>
        <v>Tgt @ADCin (dBm) - Ref. Rx</v>
      </c>
      <c r="C114" s="70">
        <f>$C$185+$C$186+$C$188+10*LOG10(C$112)+$C$189-$C$190-40*LOG10(C$113)+$C$171-C$84-C$85-$C$179*(C$80=1)</f>
        <v>-70.465211024874947</v>
      </c>
      <c r="D114" s="70">
        <f>$C$185+$C$186+$C$188+10*LOG10(D$112)+$C$189-$C$190-40*LOG10(D$113)+$C$171-D$84-D$85-$C$179*(D$80=1)</f>
        <v>-43.739778186332956</v>
      </c>
    </row>
    <row r="115" spans="2:19" x14ac:dyDescent="0.2">
      <c r="B115" s="95" t="str">
        <f>'[1]Parameters List'!B115</f>
        <v>Tgt @ADCin (dBm) - 1st Rx - no calib.</v>
      </c>
      <c r="C115" s="70">
        <f>C$114-($C$188+$C$171-C$84-C$85-$C$179*(C$80=1))+$C$187+$C$170-C$82-C$83-$C$177*(C$80=1)</f>
        <v>-74.465211024874947</v>
      </c>
      <c r="D115" s="70">
        <f>D$114-($C$188+$C$171-D$84-D$85-$C$179*(D$80=1))+$C$187+$C$170-D$82-D$83-$C$177*(D$80=1)</f>
        <v>-37.739778186332956</v>
      </c>
      <c r="F115" s="43"/>
      <c r="G115" s="43"/>
      <c r="H115" s="43"/>
      <c r="I115" s="43"/>
      <c r="J115" s="43"/>
      <c r="K115" s="43"/>
      <c r="L115" s="43"/>
      <c r="M115" s="43"/>
      <c r="N115" s="43"/>
      <c r="O115" s="43"/>
      <c r="P115" s="43"/>
      <c r="Q115" s="43"/>
      <c r="R115" s="43"/>
      <c r="S115" s="43"/>
    </row>
    <row r="116" spans="2:19" x14ac:dyDescent="0.2">
      <c r="B116" s="95" t="str">
        <f>'[1]Parameters List'!B116</f>
        <v>Tgt @ADCout (dBm) - 1st Rx</v>
      </c>
      <c r="C116" s="70">
        <f>C$114+20*LOG10($C$156/$C$157)-$C$177*(C$80=1)</f>
        <v>-50.465211024874947</v>
      </c>
      <c r="D116" s="70">
        <f>D$114+20*LOG10($C$156/$C$157)-$C$177*(D$80=1)</f>
        <v>-23.739778186332956</v>
      </c>
      <c r="F116" s="43"/>
      <c r="G116" s="43"/>
      <c r="H116" s="43"/>
      <c r="I116" s="43"/>
      <c r="J116" s="43"/>
      <c r="K116" s="43"/>
      <c r="L116" s="43"/>
      <c r="M116" s="43"/>
      <c r="N116" s="43"/>
      <c r="O116" s="43"/>
      <c r="P116" s="43"/>
      <c r="Q116" s="43"/>
      <c r="R116" s="43"/>
      <c r="S116" s="43"/>
    </row>
    <row r="117" spans="2:19" x14ac:dyDescent="0.2">
      <c r="B117" s="95" t="str">
        <f>'[1]Parameters List'!B117</f>
        <v>Tgt @ADCout (dBm)</v>
      </c>
      <c r="C117" s="70">
        <f>20*LOG10(10^(C$114/20)+($C$155-1)*10^(C$116/20))+ (20*LOG10(C$34) - 2 * C$35) * (C$34&gt;1)</f>
        <v>-38.209533890480238</v>
      </c>
      <c r="D117" s="70">
        <f>20*LOG10(10^(D$114/20)+($C$155-1)*10^(D$116/20))+ (20*LOG10(D$34) - 2 * D$35) * (D$34&gt;1)</f>
        <v>-11.484101051938245</v>
      </c>
      <c r="G117" s="43"/>
      <c r="H117" s="43"/>
      <c r="I117" s="43"/>
      <c r="J117" s="43"/>
      <c r="K117" s="43"/>
      <c r="L117" s="43"/>
      <c r="M117" s="43"/>
      <c r="N117" s="43"/>
      <c r="O117" s="43"/>
      <c r="P117" s="43"/>
      <c r="Q117" s="43"/>
      <c r="R117" s="43"/>
      <c r="S117" s="43"/>
    </row>
    <row r="118" spans="2:19" x14ac:dyDescent="0.2">
      <c r="B118" s="79" t="str">
        <f>'[1]Parameters List'!B118</f>
        <v>SNR (dB)</v>
      </c>
      <c r="C118" s="70">
        <f>C117-C$94-C$97+C$95</f>
        <v>49.839490854306305</v>
      </c>
      <c r="D118" s="70">
        <f>D117-D$94-D$97+D$95</f>
        <v>57.882309250882614</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'[1]Parameters List'!B120</f>
        <v>Probability of Detection @ SNR (dB):</v>
      </c>
      <c r="C120" s="64">
        <v>15</v>
      </c>
      <c r="D120" s="64">
        <v>18</v>
      </c>
    </row>
    <row r="121" spans="2:19" x14ac:dyDescent="0.2">
      <c r="B121" s="71" t="str">
        <f>'[1]Parameters List'!B121</f>
        <v>SWERLING (0, I, II, III, IV)</v>
      </c>
      <c r="C121" s="64">
        <v>1</v>
      </c>
      <c r="D121" s="64">
        <v>0</v>
      </c>
    </row>
    <row r="122" spans="2:19" x14ac:dyDescent="0.2">
      <c r="B122" s="79" t="str">
        <f>'[1]Parameters List'!B122</f>
        <v>Probability of Detection</v>
      </c>
      <c r="C122" s="70">
        <f>pf_PD_PFA_CFAR("pd", C$74, C$120, C$121, C$68*2, 1)</f>
        <v>0.73742326593646546</v>
      </c>
      <c r="D122" s="70">
        <f>pf_PD_PFA_CFAR("pd", D$74, D$120, D$121, D$68*2, 1)</f>
        <v>0.99874513500705775</v>
      </c>
    </row>
    <row r="123" spans="2:19" x14ac:dyDescent="0.2">
      <c r="B123" s="71" t="str">
        <f>'[1]Parameters List'!B123</f>
        <v>Pd for at least N of M detections (N,M)</v>
      </c>
      <c r="C123" s="64" t="s">
        <v>386</v>
      </c>
      <c r="D123" s="64" t="s">
        <v>386</v>
      </c>
    </row>
    <row r="124" spans="2:19" x14ac:dyDescent="0.2">
      <c r="B124" s="79" t="str">
        <f>'[1]Parameters List'!B124</f>
        <v>Probability of Detection</v>
      </c>
      <c r="C124" s="70">
        <f>pf_PD_N_OUTOF_M(C$122, LEFT(C$123,FIND(",",C$123,1) - 1), MID(C$123,FIND(",",C$123,1)+1,100))</f>
        <v>0.98122463812449057</v>
      </c>
      <c r="D124" s="70">
        <f>pf_PD_N_OUTOF_M(D$122, LEFT(D$123,FIND(",",D$123,1) - 1), MID(D$123,FIND(",",D$123,1)+1,100))</f>
        <v>0.99999999998761424</v>
      </c>
    </row>
    <row r="125" spans="2:19" x14ac:dyDescent="0.2">
      <c r="B125" s="75"/>
    </row>
    <row r="126" spans="2:19" x14ac:dyDescent="0.2">
      <c r="B126" s="71" t="str">
        <f>'[1]Parameters List'!B126</f>
        <v>Target Revisit Time (sec)</v>
      </c>
      <c r="C126" s="64">
        <v>0.05</v>
      </c>
      <c r="D126" s="64">
        <v>0.05</v>
      </c>
    </row>
    <row r="127" spans="2:19" x14ac:dyDescent="0.2">
      <c r="B127" s="68" t="str">
        <f>'[1]Parameters List'!B127</f>
        <v>Acceleration Folding (m/s2)</v>
      </c>
      <c r="C127" s="67">
        <f>$C$107/C$126</f>
        <v>28456.806644518274</v>
      </c>
      <c r="D127" s="67">
        <f>$C$107/D$126</f>
        <v>28456.806644518274</v>
      </c>
    </row>
    <row r="128" spans="2:19" x14ac:dyDescent="0.2">
      <c r="B128" s="80" t="str">
        <f>'[1]Parameters List'!B128</f>
        <v>Maximum Allowed Acceleration (m/s2)</v>
      </c>
      <c r="C128" s="70">
        <f>($C$107/4)/C$126</f>
        <v>7114.2016611295685</v>
      </c>
      <c r="D128" s="70">
        <f>($C$107/4)/D$126</f>
        <v>7114.2016611295685</v>
      </c>
    </row>
    <row r="129" spans="2:19" x14ac:dyDescent="0.2">
      <c r="B129" s="80" t="str">
        <f>'[1]Parameters List'!B129</f>
        <v>Acceleration Ambiguity (m/s2)</v>
      </c>
      <c r="C129" s="70">
        <f>C$127-C$128</f>
        <v>21342.604983388705</v>
      </c>
      <c r="D129" s="70">
        <f>D$127-D$128</f>
        <v>21342.604983388705</v>
      </c>
    </row>
    <row r="130" spans="2:19" x14ac:dyDescent="0.2">
      <c r="B130" s="75"/>
    </row>
    <row r="131" spans="2:19" x14ac:dyDescent="0.2">
      <c r="B131" s="78" t="str">
        <f>'[1]Parameters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'[1]Parameters List'!B132</f>
        <v>SNR @ Range (m):</v>
      </c>
      <c r="C132" s="74">
        <f>$C$163*C$36 + C$41</f>
        <v>1214.1905862000001</v>
      </c>
      <c r="D132" s="74">
        <f>$C$163*D$36 + D$41</f>
        <v>584.59529310000005</v>
      </c>
    </row>
    <row r="133" spans="2:19" x14ac:dyDescent="0.2">
      <c r="B133" s="79" t="str">
        <f>'[1]Parameters List'!B133</f>
        <v>Tgt @ADCin (dBm) - Ref. Rx</v>
      </c>
      <c r="C133" s="70">
        <f>$C$185+$C$186+$C$188+10*LOG10(C$131)+$C$189-$C$190-40*LOG10(C$132)+$C$171-C$84-C$85-$C$179*(C$80=1)</f>
        <v>-66.437040070728898</v>
      </c>
      <c r="D133" s="70">
        <f>$C$185+$C$186+$C$188+10*LOG10(D$131)+$C$189-$C$190-40*LOG10(D$132)+$C$171-D$84-D$85-$C$179*(D$80=1)</f>
        <v>-43.739778186332956</v>
      </c>
    </row>
    <row r="134" spans="2:19" x14ac:dyDescent="0.2">
      <c r="B134" s="78" t="str">
        <f>'[1]Parameters List'!B134</f>
        <v>Interferer @ Range (m)</v>
      </c>
      <c r="C134" s="74">
        <v>10000</v>
      </c>
      <c r="D134" s="74">
        <v>10000</v>
      </c>
    </row>
    <row r="135" spans="2:19" x14ac:dyDescent="0.2">
      <c r="B135" s="79" t="str">
        <f>'[1]Parameters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'[1]Parameters List'!B136</f>
        <v>Interferer @ ADCin (dBm) - 1st Rx</v>
      </c>
      <c r="C136" s="70">
        <f>C$135+20*LOG10($C$156/$C$157)-$C$177*(C$80=1)</f>
        <v>27.926533025505833</v>
      </c>
      <c r="D136" s="70">
        <f>$C$185+$C$186+$C$187-$C$166+$C$189-$C$190/3*2-20*LOG10(D$134)+$C$170-D$84-D$85-$C$177*(D$80=1)</f>
        <v>23.926533025505833</v>
      </c>
    </row>
    <row r="137" spans="2:19" x14ac:dyDescent="0.2">
      <c r="B137" s="81" t="str">
        <f>'[1]Parameters List'!B137</f>
        <v>Ref. Rx Phase Noise @ADCin (dBm/bin)</v>
      </c>
      <c r="C137" s="67">
        <f>C$135+$C$165+10*LOG10(1/(C$30*10^-3))+10*LOG10($C$175*10^6/($C$106*10^3))</f>
        <v>-80.186766497532105</v>
      </c>
      <c r="D137" s="67">
        <f>D$135+$C$165+10*LOG10(1/(D$30*10^-3))+10*LOG10($C$175*10^6/($C$106*10^3))</f>
        <v>-63.094066887773792</v>
      </c>
    </row>
    <row r="138" spans="2:19" x14ac:dyDescent="0.2">
      <c r="B138" s="81" t="str">
        <f>'[1]Parameters List'!B138</f>
        <v>Ref. Rx Phase Noise @ADCout (dBm/bin)</v>
      </c>
      <c r="C138" s="67">
        <f>C$137+C$95</f>
        <v>-19.161321121030113</v>
      </c>
      <c r="D138" s="67">
        <f>D$137+D$95</f>
        <v>-22.171621077669926</v>
      </c>
    </row>
    <row r="139" spans="2:19" x14ac:dyDescent="0.2">
      <c r="B139" s="81" t="str">
        <f>'[1]Parameters List'!B139</f>
        <v>Ref. Rx Total Noise @ADCout (dBm/bin)</v>
      </c>
      <c r="C139" s="67">
        <f>10*LOG10(10 ^ (C$138 / 10) + 10 ^ (C$93 / 10))</f>
        <v>-19.153219512181369</v>
      </c>
      <c r="D139" s="67">
        <f>10*LOG10(10 ^ (D$138 / 10) + 10 ^ (D$93 / 10))</f>
        <v>-22.155432945098731</v>
      </c>
    </row>
    <row r="140" spans="2:19" x14ac:dyDescent="0.2">
      <c r="B140" s="81" t="str">
        <f>'[1]Parameters List'!B140</f>
        <v>1st Rx Phase Noise @ADCout (dBm/bin)</v>
      </c>
      <c r="C140" s="67">
        <f>C$136+$C$165+10*LOG10(1/(C$30*10^-3))+10*LOG10($C$175*10^6/($C$106*10^3))+C$95</f>
        <v>0.83867887896988691</v>
      </c>
      <c r="D140" s="67">
        <f>D$136+$C$165+10*LOG10(1/(D$30*10^-3))+10*LOG10($C$175*10^6/($C$106*10^3))+D$95</f>
        <v>-6.1716210776699256</v>
      </c>
    </row>
    <row r="141" spans="2:19" x14ac:dyDescent="0.2">
      <c r="B141" s="81" t="str">
        <f>'[1]Parameters List'!B141</f>
        <v>1st Rx Total Noise @ADCout (dBm/bin)</v>
      </c>
      <c r="C141" s="67">
        <f>10*LOG10(10 ^ (C$140 / 10) + 10 ^ (C$92 / 10))</f>
        <v>0.83985355384459592</v>
      </c>
      <c r="D141" s="67">
        <f>10*LOG10(10 ^ (D$140 / 10) + 10 ^ (D$92 / 10))</f>
        <v>-6.1673376422750081</v>
      </c>
    </row>
    <row r="142" spans="2:19" x14ac:dyDescent="0.2">
      <c r="B142" s="81" t="str">
        <f>'[1]Parameters List'!B142</f>
        <v>Total Noise Power @ADCout (dBm/bin)</v>
      </c>
      <c r="C142" s="67">
        <f>10*LOG10((($C$155-1) * 10^(C$140/20) + 10^(C$138/20))^2*((C$34 - 10^(C$35/10))*(C$34&gt;1) + 1) ^ 2 + 10^(C$94/10))</f>
        <v>13.09464038398928</v>
      </c>
      <c r="D142" s="67">
        <f>10*LOG10((($C$155-1) * 10^(D$140/20) + 10^(D$138/20))^2*((D$34 - 10^(D$35/10))*(D$34&gt;1) + 1) ^ 2 + 10^(D$94/10))</f>
        <v>6.2081054464318708</v>
      </c>
    </row>
    <row r="143" spans="2:19" x14ac:dyDescent="0.2">
      <c r="B143" s="79" t="str">
        <f>'[1]Parameters List'!B143</f>
        <v>SNR (dB)</v>
      </c>
      <c r="C143" s="70">
        <f>IF(C$134&lt;=0, C$133+C$96-C$94, C$133+C$96 -C$142)-C$97</f>
        <v>12.028523831059916</v>
      </c>
      <c r="D143" s="70">
        <f>IF(D$134&lt;=0, D$133+D$96-D$94, D$133+D$96 -D$142)-D$97</f>
        <v>21.567406919502549</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'[1]Parameters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'[1]Parameters List'!B146</f>
        <v>Ref Rx Noise @ADCout (dBm/bin)</v>
      </c>
      <c r="C146" s="70">
        <f>C$93-C$95</f>
        <v>-107.47484546322237</v>
      </c>
      <c r="D146" s="83">
        <f>D$93-D$95</f>
        <v>-87.37184589682424</v>
      </c>
      <c r="F146" s="43"/>
      <c r="G146" s="43"/>
      <c r="H146" s="43"/>
      <c r="I146" s="43"/>
      <c r="J146" s="43"/>
      <c r="K146" s="43"/>
      <c r="L146" s="43"/>
      <c r="M146" s="43"/>
      <c r="N146" s="43"/>
      <c r="O146" s="43"/>
      <c r="P146" s="43"/>
      <c r="Q146" s="43"/>
      <c r="R146" s="43"/>
      <c r="S146" s="43"/>
    </row>
    <row r="147" spans="2:19" x14ac:dyDescent="0.2">
      <c r="B147" s="82" t="str">
        <f>'[1]Parameters List'!B147</f>
        <v>1st Rx Noise @ADCout (dBm/bin)</v>
      </c>
      <c r="C147" s="70">
        <f>C$92-C$95</f>
        <v>-95.86484546322238</v>
      </c>
      <c r="D147" s="83">
        <f>D$92-D$95</f>
        <v>-77.151845896824241</v>
      </c>
    </row>
    <row r="148" spans="2:19" ht="15" thickBot="1" x14ac:dyDescent="0.25">
      <c r="B148" s="84" t="str">
        <f>'[1]Parameters List'!B148</f>
        <v>Beam Total Noise @ADCout (dBm/bin)</v>
      </c>
      <c r="C148" s="85">
        <f>C$94-C$95 - (10*LOG10(C$34) - C$35) * (C$34&gt;1)</f>
        <v>-89.769942969905145</v>
      </c>
      <c r="D148" s="86">
        <f>D$94-D$95 - (10*LOG10(D$34) - D$35) * (D$34&gt;1)</f>
        <v>-71.029242695052048</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'[1]Parameters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'[1]Parameters List'!B151</f>
        <v>Ref Rx Noise @ADCout (dBm/bin)</v>
      </c>
      <c r="C151" s="70">
        <f>C$139-C$95</f>
        <v>-80.178664888683358</v>
      </c>
      <c r="D151" s="83">
        <f>D$139-D$95</f>
        <v>-63.077878755202597</v>
      </c>
      <c r="F151" s="43"/>
      <c r="G151" s="43"/>
      <c r="H151" s="43"/>
      <c r="I151" s="43"/>
      <c r="J151" s="43"/>
      <c r="K151" s="43"/>
      <c r="L151" s="43"/>
      <c r="M151" s="43"/>
      <c r="N151" s="43"/>
      <c r="O151" s="43"/>
      <c r="P151" s="43"/>
      <c r="Q151" s="43"/>
      <c r="R151" s="43"/>
      <c r="S151" s="43"/>
    </row>
    <row r="152" spans="2:19" x14ac:dyDescent="0.2">
      <c r="B152" s="82" t="str">
        <f>'[1]Parameters List'!B152</f>
        <v>1st Rx Noise @ADCout (dBm/bin)</v>
      </c>
      <c r="C152" s="70">
        <f>C$141-C$95</f>
        <v>-60.185591822657393</v>
      </c>
      <c r="D152" s="83">
        <f>D$141-D$95</f>
        <v>-47.089783452378875</v>
      </c>
    </row>
    <row r="153" spans="2:19" ht="15" thickBot="1" x14ac:dyDescent="0.25">
      <c r="B153" s="84" t="str">
        <f>'[1]Parameters List'!B153</f>
        <v>Beam Total Noise @ADCout (dBm/bin)</v>
      </c>
      <c r="C153" s="85">
        <f>10*LOG10(10 ^ ((C$137 + C$96 - (20*LOG10(C$34) - 2*C$35) * (C$34&gt;1))/ 10) + 10 ^ ((C$94 - (10*LOG10(C$34) - C$35) * (C$34&gt;1)) / 10)) - C$95</f>
        <v>-47.930804992512719</v>
      </c>
      <c r="D153" s="86">
        <f>10*LOG10(10 ^ ((D$137 + D$96 - (20*LOG10(D$34) - 2*D$35) * (D$34&gt;1))/ 10) + 10 ^ ((D$94 - (10*LOG10(D$34) - D$35) * (D$34&gt;1)) / 10)) - D$95</f>
        <v>-30.837974150797258</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'[1]General System Parameters'!B9</f>
        <v># Rcvrs</v>
      </c>
      <c r="C155" s="33">
        <f>'[1]General System Parameters'!C9</f>
        <v>5</v>
      </c>
      <c r="F155" s="43"/>
      <c r="G155" s="43"/>
      <c r="H155" s="43"/>
      <c r="I155" s="43"/>
      <c r="J155" s="43"/>
      <c r="K155" s="43"/>
      <c r="L155" s="43"/>
      <c r="M155" s="43"/>
      <c r="N155" s="43"/>
      <c r="O155" s="43"/>
      <c r="P155" s="43"/>
      <c r="Q155" s="43"/>
      <c r="R155" s="43"/>
      <c r="S155" s="43"/>
    </row>
    <row r="156" spans="2:19" x14ac:dyDescent="0.2">
      <c r="B156" s="32" t="str">
        <f>'[1]General System Parameters'!B10</f>
        <v># Patches in 1st Rx</v>
      </c>
      <c r="C156" s="33">
        <f>'[1]General System Parameters'!C10</f>
        <v>10</v>
      </c>
      <c r="F156" s="43"/>
      <c r="G156" s="43"/>
      <c r="H156" s="43"/>
      <c r="I156" s="43"/>
      <c r="J156" s="43"/>
      <c r="K156" s="43"/>
      <c r="L156" s="43"/>
      <c r="M156" s="43"/>
      <c r="N156" s="43"/>
      <c r="O156" s="43"/>
      <c r="P156" s="43"/>
      <c r="Q156" s="43"/>
      <c r="R156" s="43"/>
      <c r="S156" s="43"/>
    </row>
    <row r="157" spans="2:19" x14ac:dyDescent="0.2">
      <c r="B157" s="32" t="str">
        <f>'[1]General System Parameters'!B11</f>
        <v># Patches in Ref (Guard) Rx</v>
      </c>
      <c r="C157" s="33">
        <f>'[1]General System Parameters'!C11</f>
        <v>1</v>
      </c>
      <c r="F157" s="43"/>
      <c r="G157" s="43"/>
      <c r="H157" s="43"/>
      <c r="I157" s="43"/>
      <c r="J157" s="43"/>
      <c r="K157" s="43"/>
      <c r="L157" s="43"/>
      <c r="M157" s="43"/>
      <c r="N157" s="43"/>
      <c r="O157" s="43"/>
      <c r="P157" s="43"/>
      <c r="Q157" s="43"/>
      <c r="R157" s="43"/>
      <c r="S157" s="43"/>
    </row>
    <row r="158" spans="2:19" x14ac:dyDescent="0.2">
      <c r="B158" s="32" t="str">
        <f>'[1]General System Parameters'!B12</f>
        <v>Typical System Gain (dB) - 1st Rx</v>
      </c>
      <c r="C158" s="33">
        <f>'[1]General System Parameters'!C12</f>
        <v>59.76</v>
      </c>
      <c r="F158" s="43"/>
      <c r="G158" s="43"/>
      <c r="H158" s="43"/>
      <c r="I158" s="43"/>
      <c r="J158" s="43"/>
      <c r="K158" s="43"/>
      <c r="L158" s="43"/>
      <c r="M158" s="43"/>
      <c r="N158" s="43"/>
      <c r="O158" s="43"/>
      <c r="P158" s="43"/>
      <c r="Q158" s="43"/>
      <c r="R158" s="43"/>
      <c r="S158" s="43"/>
    </row>
    <row r="159" spans="2:19" x14ac:dyDescent="0.2">
      <c r="B159" s="32" t="str">
        <f>'[1]General System Parameters'!B13</f>
        <v>Typical System Gain (dB) - Ref (Guard) Rx</v>
      </c>
      <c r="C159" s="33">
        <f>'[1]General System Parameters'!C13</f>
        <v>54.1</v>
      </c>
      <c r="F159" s="43"/>
      <c r="G159" s="43"/>
      <c r="H159" s="43"/>
      <c r="I159" s="43"/>
      <c r="J159" s="43"/>
      <c r="K159" s="43"/>
      <c r="L159" s="43"/>
      <c r="M159" s="43"/>
      <c r="N159" s="43"/>
      <c r="O159" s="43"/>
      <c r="P159" s="43"/>
      <c r="Q159" s="43"/>
      <c r="R159" s="43"/>
      <c r="S159" s="43"/>
    </row>
    <row r="160" spans="2:19" x14ac:dyDescent="0.2">
      <c r="B160" s="32" t="str">
        <f>'[1]General System Parameters'!B14</f>
        <v>Typical 1st Rx Calibration (dB)</v>
      </c>
      <c r="C160" s="33">
        <f>'[1]General System Parameters'!C14</f>
        <v>4.3400000000000105</v>
      </c>
      <c r="F160" s="43"/>
      <c r="G160" s="43"/>
      <c r="H160" s="43"/>
      <c r="I160" s="43"/>
      <c r="J160" s="43"/>
      <c r="K160" s="43"/>
      <c r="L160" s="43"/>
      <c r="M160" s="43"/>
      <c r="N160" s="43"/>
      <c r="O160" s="43"/>
      <c r="P160" s="43"/>
      <c r="Q160" s="43"/>
      <c r="R160" s="43"/>
      <c r="S160" s="43"/>
    </row>
    <row r="161" spans="2:19" x14ac:dyDescent="0.2">
      <c r="B161" s="32" t="str">
        <f>'[1]General System Parameters'!B15</f>
        <v>System Propagation Delay (us)</v>
      </c>
      <c r="C161" s="33">
        <f>'[1]General System Parameters'!C15</f>
        <v>0.15</v>
      </c>
      <c r="F161" s="43"/>
      <c r="G161" s="43"/>
      <c r="H161" s="43"/>
      <c r="I161" s="43"/>
      <c r="J161" s="43"/>
      <c r="K161" s="43"/>
      <c r="L161" s="43"/>
      <c r="M161" s="43"/>
      <c r="N161" s="43"/>
      <c r="O161" s="43"/>
      <c r="P161" s="43"/>
      <c r="Q161" s="43"/>
      <c r="R161" s="43"/>
      <c r="S161" s="43"/>
    </row>
    <row r="162" spans="2:19" x14ac:dyDescent="0.2">
      <c r="B162" s="32" t="str">
        <f>'[1]General System Parameters'!B16</f>
        <v>c (m/s)</v>
      </c>
      <c r="C162" s="33">
        <f>'[1]General System Parameters'!C16</f>
        <v>299792458</v>
      </c>
      <c r="F162" s="43"/>
      <c r="G162" s="43"/>
      <c r="H162" s="43"/>
      <c r="I162" s="43"/>
      <c r="J162" s="43"/>
      <c r="K162" s="43"/>
      <c r="L162" s="43"/>
      <c r="M162" s="43"/>
      <c r="N162" s="43"/>
      <c r="O162" s="43"/>
      <c r="P162" s="43"/>
      <c r="Q162" s="43"/>
      <c r="R162" s="43"/>
      <c r="S162" s="43"/>
    </row>
    <row r="163" spans="2:19" x14ac:dyDescent="0.2">
      <c r="B163" s="32" t="str">
        <f>'[1]General System Parameters'!B17</f>
        <v>c/2 (m/μs)</v>
      </c>
      <c r="C163" s="33">
        <f>'[1]General System Parameters'!C17</f>
        <v>149.89622900000001</v>
      </c>
      <c r="F163" s="43"/>
      <c r="G163" s="43"/>
      <c r="H163" s="43"/>
      <c r="I163" s="43"/>
      <c r="J163" s="43"/>
      <c r="K163" s="43"/>
      <c r="L163" s="43"/>
      <c r="M163" s="43"/>
      <c r="N163" s="43"/>
      <c r="O163" s="43"/>
      <c r="P163" s="43"/>
      <c r="Q163" s="43"/>
      <c r="R163" s="43"/>
      <c r="S163" s="43"/>
    </row>
    <row r="164" spans="2:19" x14ac:dyDescent="0.2">
      <c r="B164" s="30" t="str">
        <f>'[1]General System Parameters'!B18</f>
        <v>Freq (GHz)</v>
      </c>
      <c r="C164" s="31">
        <f>'[1]General System Parameters'!C18</f>
        <v>3.5</v>
      </c>
      <c r="F164" s="43"/>
      <c r="G164" s="43"/>
      <c r="H164" s="43"/>
      <c r="I164" s="43"/>
      <c r="J164" s="43"/>
      <c r="K164" s="43"/>
      <c r="L164" s="43"/>
      <c r="M164" s="43"/>
      <c r="N164" s="43"/>
      <c r="O164" s="43"/>
      <c r="P164" s="43"/>
      <c r="Q164" s="43"/>
      <c r="R164" s="43"/>
      <c r="S164" s="43"/>
    </row>
    <row r="165" spans="2:19" x14ac:dyDescent="0.2">
      <c r="B165" s="30" t="str">
        <f>'[1]General System Parameters'!B19</f>
        <v>Phase Noise Level (dBc/Hz)</v>
      </c>
      <c r="C165" s="31">
        <f>'[1]General System Parameters'!C19</f>
        <v>-125</v>
      </c>
      <c r="F165" s="43"/>
      <c r="G165" s="43"/>
      <c r="H165" s="43"/>
      <c r="I165" s="43"/>
      <c r="J165" s="43"/>
      <c r="K165" s="43"/>
      <c r="L165" s="43"/>
      <c r="M165" s="43"/>
      <c r="N165" s="43"/>
      <c r="O165" s="43"/>
      <c r="P165" s="43"/>
      <c r="Q165" s="43"/>
      <c r="R165" s="43"/>
      <c r="S165" s="43"/>
    </row>
    <row r="166" spans="2:19" x14ac:dyDescent="0.2">
      <c r="B166" s="30" t="str">
        <f>'[1]General System Parameters'!B20</f>
        <v>Polarization Loss (dB)</v>
      </c>
      <c r="C166" s="31">
        <f>'[1]General System Parameters'!C20</f>
        <v>0</v>
      </c>
      <c r="F166" s="43"/>
      <c r="G166" s="43"/>
      <c r="H166" s="43"/>
      <c r="I166" s="43"/>
      <c r="J166" s="43"/>
      <c r="K166" s="43"/>
      <c r="L166" s="43"/>
      <c r="M166" s="43"/>
      <c r="N166" s="43"/>
      <c r="O166" s="43"/>
      <c r="P166" s="43"/>
      <c r="Q166" s="43"/>
      <c r="R166" s="43"/>
      <c r="S166" s="43"/>
    </row>
    <row r="167" spans="2:19" x14ac:dyDescent="0.2">
      <c r="B167" s="34" t="str">
        <f>'[1]General System Parameters'!B21</f>
        <v>λ (m)</v>
      </c>
      <c r="C167" s="35">
        <f>'[1]General System Parameters'!C21</f>
        <v>8.5654988000000001E-2</v>
      </c>
      <c r="F167" s="43"/>
      <c r="G167" s="43"/>
      <c r="H167" s="43"/>
      <c r="I167" s="43"/>
      <c r="J167" s="43"/>
      <c r="K167" s="43"/>
      <c r="L167" s="43"/>
      <c r="M167" s="43"/>
      <c r="N167" s="43"/>
      <c r="O167" s="43"/>
      <c r="P167" s="43"/>
      <c r="Q167" s="43"/>
      <c r="R167" s="43"/>
      <c r="S167" s="43"/>
    </row>
    <row r="168" spans="2:19" x14ac:dyDescent="0.2">
      <c r="B168" s="34" t="str">
        <f>'[1]General System Parameters'!B22</f>
        <v>Doppler factor (Hz/(m/sec))</v>
      </c>
      <c r="C168" s="35">
        <f>'[1]General System Parameters'!C22</f>
        <v>23.349486663870643</v>
      </c>
      <c r="F168" s="43"/>
      <c r="G168" s="43"/>
      <c r="H168" s="43"/>
      <c r="I168" s="43"/>
      <c r="J168" s="43"/>
      <c r="K168" s="43"/>
      <c r="L168" s="43"/>
      <c r="M168" s="43"/>
      <c r="N168" s="43"/>
      <c r="O168" s="43"/>
      <c r="P168" s="43"/>
      <c r="Q168" s="43"/>
      <c r="R168" s="43"/>
      <c r="S168" s="43"/>
    </row>
    <row r="169" spans="2:19" x14ac:dyDescent="0.2">
      <c r="B169" s="36" t="str">
        <f>'[1]General System Parameters'!B23</f>
        <v>ALC</v>
      </c>
      <c r="C169" s="31">
        <f>'[1]General System Parameters'!C23</f>
        <v>0</v>
      </c>
      <c r="F169" s="43"/>
      <c r="G169" s="43"/>
      <c r="H169" s="43"/>
      <c r="I169" s="43"/>
      <c r="J169" s="43"/>
      <c r="K169" s="43"/>
      <c r="L169" s="43"/>
      <c r="M169" s="43"/>
      <c r="N169" s="43"/>
      <c r="O169" s="43"/>
      <c r="P169" s="43"/>
      <c r="Q169" s="43"/>
      <c r="R169" s="43"/>
      <c r="S169" s="43"/>
    </row>
    <row r="170" spans="2:19" x14ac:dyDescent="0.2">
      <c r="B170" s="36" t="str">
        <f>'[1]General System Parameters'!B24</f>
        <v>Actual System Gain (dB) - 1st Rx</v>
      </c>
      <c r="C170" s="31">
        <f>'[1]General System Parameters'!C24</f>
        <v>60</v>
      </c>
      <c r="F170" s="43"/>
      <c r="G170" s="43"/>
      <c r="H170" s="43"/>
      <c r="I170" s="43"/>
      <c r="J170" s="43"/>
      <c r="K170" s="43"/>
      <c r="L170" s="43"/>
      <c r="M170" s="43"/>
      <c r="N170" s="43"/>
      <c r="O170" s="43"/>
      <c r="P170" s="43"/>
      <c r="Q170" s="43"/>
      <c r="R170" s="43"/>
      <c r="S170" s="43"/>
    </row>
    <row r="171" spans="2:19" x14ac:dyDescent="0.2">
      <c r="B171" s="36" t="str">
        <f>'[1]General System Parameters'!B25</f>
        <v>Actual System Gain (dB) - Ref Rx</v>
      </c>
      <c r="C171" s="31">
        <f>'[1]General System Parameters'!C25</f>
        <v>54</v>
      </c>
      <c r="F171" s="43"/>
      <c r="G171" s="43"/>
      <c r="H171" s="43"/>
      <c r="I171" s="43"/>
      <c r="J171" s="43"/>
      <c r="K171" s="43"/>
      <c r="L171" s="43"/>
      <c r="M171" s="43"/>
      <c r="N171" s="43"/>
      <c r="O171" s="43"/>
      <c r="P171" s="43"/>
      <c r="Q171" s="43"/>
      <c r="R171" s="43"/>
      <c r="S171" s="43"/>
    </row>
    <row r="172" spans="2:19" x14ac:dyDescent="0.2">
      <c r="B172" s="34" t="str">
        <f>'[1]General System Parameters'!B26</f>
        <v>Actual 1st Rx Calibration (dB)</v>
      </c>
      <c r="C172" s="35">
        <f>'[1]General System Parameters'!C26</f>
        <v>4</v>
      </c>
      <c r="F172" s="43"/>
      <c r="G172" s="43"/>
      <c r="H172" s="43"/>
      <c r="I172" s="43"/>
      <c r="J172" s="43"/>
      <c r="K172" s="43"/>
      <c r="L172" s="43"/>
      <c r="M172" s="43"/>
      <c r="N172" s="43"/>
      <c r="O172" s="43"/>
      <c r="P172" s="43"/>
      <c r="Q172" s="43"/>
      <c r="R172" s="43"/>
      <c r="S172" s="43"/>
    </row>
    <row r="173" spans="2:19" x14ac:dyDescent="0.2">
      <c r="B173" s="32" t="str">
        <f>'[1]General System Parameters'!B27</f>
        <v>KT (dBm/Hz)</v>
      </c>
      <c r="C173" s="33">
        <f>'[1]General System Parameters'!C27</f>
        <v>-174</v>
      </c>
      <c r="F173" s="43"/>
      <c r="G173" s="43"/>
      <c r="H173" s="43"/>
      <c r="I173" s="43"/>
      <c r="J173" s="43"/>
      <c r="K173" s="43"/>
      <c r="L173" s="43"/>
      <c r="M173" s="43"/>
      <c r="N173" s="43"/>
      <c r="O173" s="43"/>
      <c r="P173" s="43"/>
      <c r="Q173" s="43"/>
      <c r="R173" s="43"/>
      <c r="S173" s="43"/>
    </row>
    <row r="174" spans="2:19" x14ac:dyDescent="0.2">
      <c r="B174" s="32" t="str">
        <f>'[1]General System Parameters'!B28</f>
        <v>Sample Period (us)</v>
      </c>
      <c r="C174" s="33">
        <f>'[1]General System Parameters'!C28</f>
        <v>1.2500000000000001E-2</v>
      </c>
      <c r="F174" s="43"/>
      <c r="G174" s="43"/>
      <c r="H174" s="43"/>
      <c r="I174" s="43"/>
      <c r="J174" s="43"/>
      <c r="K174" s="43"/>
      <c r="L174" s="43"/>
      <c r="M174" s="43"/>
      <c r="N174" s="43"/>
      <c r="O174" s="43"/>
      <c r="P174" s="43"/>
      <c r="Q174" s="43"/>
      <c r="R174" s="43"/>
      <c r="S174" s="43"/>
    </row>
    <row r="175" spans="2:19" x14ac:dyDescent="0.2">
      <c r="B175" s="37" t="str">
        <f>'[1]General System Parameters'!B29</f>
        <v>ADC Bandwidth (MHz)</v>
      </c>
      <c r="C175" s="35">
        <f>'[1]General System Parameters'!C29</f>
        <v>40</v>
      </c>
      <c r="F175" s="43"/>
      <c r="G175" s="43"/>
      <c r="H175" s="43"/>
      <c r="I175" s="43"/>
      <c r="J175" s="43"/>
      <c r="K175" s="43"/>
      <c r="L175" s="43"/>
      <c r="M175" s="43"/>
      <c r="N175" s="43"/>
      <c r="O175" s="43"/>
      <c r="P175" s="43"/>
      <c r="Q175" s="43"/>
      <c r="R175" s="43"/>
      <c r="S175" s="43"/>
    </row>
    <row r="176" spans="2:19" x14ac:dyDescent="0.2">
      <c r="B176" s="32" t="str">
        <f>'[1]General System Parameters'!B30</f>
        <v>ADC Noise Level (dBm)</v>
      </c>
      <c r="C176" s="33">
        <f>'[1]General System Parameters'!C30</f>
        <v>-65</v>
      </c>
      <c r="F176" s="43"/>
      <c r="G176" s="43"/>
      <c r="H176" s="43"/>
      <c r="I176" s="43"/>
      <c r="J176" s="43"/>
      <c r="K176" s="43"/>
      <c r="L176" s="43"/>
      <c r="M176" s="43"/>
      <c r="N176" s="43"/>
      <c r="O176" s="43"/>
      <c r="P176" s="43"/>
      <c r="Q176" s="43"/>
      <c r="R176" s="43"/>
      <c r="S176" s="43"/>
    </row>
    <row r="177" spans="2:19" x14ac:dyDescent="0.2">
      <c r="B177" s="32" t="str">
        <f>'[1]General System Parameters'!B31</f>
        <v>Tapering Signal Gain Loss (dB) - 1st Rx</v>
      </c>
      <c r="C177" s="33">
        <f>'[1]General System Parameters'!C31</f>
        <v>3.51</v>
      </c>
      <c r="F177" s="43"/>
      <c r="G177" s="43"/>
      <c r="H177" s="43"/>
      <c r="I177" s="43"/>
      <c r="J177" s="43"/>
      <c r="K177" s="43"/>
      <c r="L177" s="43"/>
      <c r="M177" s="43"/>
      <c r="N177" s="43"/>
      <c r="O177" s="43"/>
      <c r="P177" s="43"/>
      <c r="Q177" s="43"/>
      <c r="R177" s="43"/>
      <c r="S177" s="43"/>
    </row>
    <row r="178" spans="2:19" x14ac:dyDescent="0.2">
      <c r="B178" s="32" t="str">
        <f>'[1]General System Parameters'!B32</f>
        <v>Tapering Noise Gain Loss (dB) - 1st Rx</v>
      </c>
      <c r="C178" s="33">
        <f>'[1]General System Parameters'!C32</f>
        <v>3.1337000000000002</v>
      </c>
      <c r="F178" s="43"/>
      <c r="G178" s="43"/>
      <c r="H178" s="43"/>
      <c r="I178" s="43"/>
      <c r="J178" s="43"/>
      <c r="K178" s="43"/>
      <c r="L178" s="43"/>
      <c r="M178" s="43"/>
      <c r="N178" s="43"/>
      <c r="O178" s="43"/>
      <c r="P178" s="43"/>
      <c r="Q178" s="43"/>
      <c r="R178" s="43"/>
      <c r="S178" s="43"/>
    </row>
    <row r="179" spans="2:19" x14ac:dyDescent="0.2">
      <c r="B179" s="32" t="str">
        <f>'[1]General System Parameters'!B33</f>
        <v>Tapering Signal Gain Loss (dB) - Ref (Guard) Rx</v>
      </c>
      <c r="C179" s="33">
        <f>'[1]General System Parameters'!C33</f>
        <v>0</v>
      </c>
      <c r="F179" s="43"/>
      <c r="G179" s="43"/>
      <c r="H179" s="43"/>
      <c r="I179" s="43"/>
      <c r="J179" s="43"/>
      <c r="K179" s="43"/>
      <c r="L179" s="43"/>
      <c r="M179" s="43"/>
      <c r="N179" s="43"/>
      <c r="O179" s="43"/>
      <c r="P179" s="43"/>
      <c r="Q179" s="43"/>
      <c r="R179" s="43"/>
      <c r="S179" s="43"/>
    </row>
    <row r="180" spans="2:19" x14ac:dyDescent="0.2">
      <c r="B180" s="32" t="str">
        <f>'[1]General System Parameters'!B34</f>
        <v>Tapering Noise Gain Loss (dB) - Ref (Guard) Rx</v>
      </c>
      <c r="C180" s="33">
        <f>'[1]General System Parameters'!C34</f>
        <v>0</v>
      </c>
      <c r="F180" s="43"/>
      <c r="G180" s="43"/>
      <c r="H180" s="43"/>
      <c r="I180" s="43"/>
      <c r="J180" s="43"/>
      <c r="K180" s="43"/>
      <c r="L180" s="43"/>
      <c r="M180" s="43"/>
      <c r="N180" s="43"/>
      <c r="O180" s="43"/>
      <c r="P180" s="43"/>
      <c r="Q180" s="43"/>
      <c r="R180" s="43"/>
      <c r="S180" s="43"/>
    </row>
    <row r="181" spans="2:19" x14ac:dyDescent="0.2">
      <c r="B181" s="37" t="str">
        <f>'[1]General System Parameters'!B35</f>
        <v>Tapering Rx Loss (dB)</v>
      </c>
      <c r="C181" s="35">
        <f>'[1]General System Parameters'!C35</f>
        <v>0.37629999999999963</v>
      </c>
      <c r="F181" s="43"/>
      <c r="G181" s="43"/>
      <c r="H181" s="43"/>
      <c r="I181" s="43"/>
      <c r="J181" s="43"/>
      <c r="K181" s="43"/>
      <c r="L181" s="43"/>
      <c r="M181" s="43"/>
      <c r="N181" s="43"/>
      <c r="O181" s="43"/>
      <c r="P181" s="43"/>
      <c r="Q181" s="43"/>
      <c r="R181" s="43"/>
      <c r="S181" s="43"/>
    </row>
    <row r="182" spans="2:19" x14ac:dyDescent="0.2">
      <c r="B182" s="30" t="str">
        <f>'[1]General System Parameters'!B36</f>
        <v>Number of T/R modules</v>
      </c>
      <c r="C182" s="31">
        <f>'[1]General System Parameters'!C36</f>
        <v>41</v>
      </c>
      <c r="F182" s="43"/>
      <c r="G182" s="43"/>
      <c r="H182" s="43"/>
      <c r="I182" s="43"/>
      <c r="J182" s="43"/>
      <c r="K182" s="43"/>
      <c r="L182" s="43"/>
      <c r="M182" s="43"/>
      <c r="N182" s="43"/>
      <c r="O182" s="43"/>
      <c r="P182" s="43"/>
      <c r="Q182" s="43"/>
      <c r="R182" s="43"/>
      <c r="S182" s="43"/>
    </row>
    <row r="183" spans="2:19" x14ac:dyDescent="0.2">
      <c r="B183" s="30" t="str">
        <f>'[1]General System Parameters'!B37</f>
        <v>Power per T/R module</v>
      </c>
      <c r="C183" s="31">
        <f>'[1]General System Parameters'!C37</f>
        <v>10</v>
      </c>
      <c r="F183" s="43"/>
      <c r="G183" s="43"/>
      <c r="H183" s="43"/>
      <c r="I183" s="43"/>
      <c r="J183" s="43"/>
      <c r="K183" s="43"/>
      <c r="L183" s="43"/>
      <c r="M183" s="43"/>
      <c r="N183" s="43"/>
      <c r="O183" s="43"/>
      <c r="P183" s="43"/>
      <c r="Q183" s="43"/>
      <c r="R183" s="43"/>
      <c r="S183" s="43"/>
    </row>
    <row r="184" spans="2:19" x14ac:dyDescent="0.2">
      <c r="B184" s="30" t="str">
        <f>'[1]General System Parameters'!B38</f>
        <v>Gain per T/R module [dB]</v>
      </c>
      <c r="C184" s="31">
        <f>'[1]General System Parameters'!C38</f>
        <v>5</v>
      </c>
      <c r="F184" s="43"/>
      <c r="G184" s="43"/>
      <c r="H184" s="43"/>
      <c r="I184" s="43"/>
      <c r="J184" s="43"/>
      <c r="K184" s="43"/>
      <c r="L184" s="43"/>
      <c r="M184" s="43"/>
      <c r="N184" s="43"/>
      <c r="O184" s="43"/>
      <c r="P184" s="43"/>
      <c r="Q184" s="43"/>
      <c r="R184" s="43"/>
      <c r="S184" s="43"/>
    </row>
    <row r="185" spans="2:19" x14ac:dyDescent="0.2">
      <c r="B185" s="37" t="str">
        <f>'[1]General System Parameters'!B39</f>
        <v>Available Power (dBm)</v>
      </c>
      <c r="C185" s="35">
        <f>'[1]General System Parameters'!C39</f>
        <v>56.127838567197358</v>
      </c>
      <c r="F185" s="43"/>
      <c r="G185" s="43"/>
      <c r="H185" s="43"/>
      <c r="I185" s="43"/>
      <c r="J185" s="43"/>
      <c r="K185" s="43"/>
      <c r="L185" s="43"/>
      <c r="M185" s="43"/>
      <c r="N185" s="43"/>
      <c r="O185" s="43"/>
      <c r="P185" s="43"/>
      <c r="Q185" s="43"/>
      <c r="R185" s="43"/>
      <c r="S185" s="43"/>
    </row>
    <row r="186" spans="2:19" x14ac:dyDescent="0.2">
      <c r="B186" s="37" t="str">
        <f>'[1]General System Parameters'!B40</f>
        <v>Gt,Gr</v>
      </c>
      <c r="C186" s="35">
        <f>'[1]General System Parameters'!C40</f>
        <v>21.127838567197355</v>
      </c>
      <c r="F186" s="43"/>
      <c r="G186" s="43"/>
      <c r="H186" s="43"/>
      <c r="I186" s="43"/>
      <c r="J186" s="43"/>
      <c r="K186" s="43"/>
      <c r="L186" s="43"/>
      <c r="M186" s="43"/>
      <c r="N186" s="43"/>
      <c r="O186" s="43"/>
      <c r="P186" s="43"/>
      <c r="Q186" s="43"/>
      <c r="R186" s="43"/>
      <c r="S186" s="43"/>
    </row>
    <row r="187" spans="2:19" x14ac:dyDescent="0.2">
      <c r="B187" s="37" t="str">
        <f>'[1]General System Parameters'!B41</f>
        <v>Gr - 1st Rx</v>
      </c>
      <c r="C187" s="35">
        <f>'[1]General System Parameters'!C41</f>
        <v>15</v>
      </c>
      <c r="F187" s="43"/>
      <c r="G187" s="43"/>
      <c r="H187" s="43"/>
      <c r="I187" s="43"/>
      <c r="J187" s="43"/>
      <c r="K187" s="43"/>
      <c r="L187" s="43"/>
      <c r="M187" s="43"/>
      <c r="N187" s="43"/>
      <c r="O187" s="43"/>
      <c r="P187" s="43"/>
      <c r="Q187" s="43"/>
      <c r="R187" s="43"/>
      <c r="S187" s="43"/>
    </row>
    <row r="188" spans="2:19" x14ac:dyDescent="0.2">
      <c r="B188" s="37" t="str">
        <f>'[1]General System Parameters'!B42</f>
        <v>Gr - Ref (Guard) Rx</v>
      </c>
      <c r="C188" s="35">
        <f>'[1]General System Parameters'!C42</f>
        <v>5</v>
      </c>
      <c r="F188" s="43"/>
      <c r="G188" s="43"/>
      <c r="H188" s="43"/>
      <c r="I188" s="43"/>
      <c r="J188" s="43"/>
      <c r="K188" s="43"/>
      <c r="L188" s="43"/>
      <c r="M188" s="43"/>
      <c r="N188" s="43"/>
      <c r="O188" s="43"/>
      <c r="P188" s="43"/>
      <c r="Q188" s="43"/>
      <c r="R188" s="43"/>
      <c r="S188" s="43"/>
    </row>
    <row r="189" spans="2:19" x14ac:dyDescent="0.2">
      <c r="B189" s="37" t="str">
        <f>'[1]General System Parameters'!B43</f>
        <v>λ2 (dB/m2)</v>
      </c>
      <c r="C189" s="35">
        <f>'[1]General System Parameters'!C43</f>
        <v>-21.344946828446961</v>
      </c>
      <c r="F189" s="43"/>
      <c r="G189" s="43"/>
      <c r="H189" s="43"/>
      <c r="I189" s="43"/>
      <c r="J189" s="43"/>
      <c r="K189" s="43"/>
      <c r="L189" s="43"/>
      <c r="M189" s="43"/>
      <c r="N189" s="43"/>
      <c r="O189" s="43"/>
      <c r="P189" s="43"/>
      <c r="Q189" s="43"/>
      <c r="R189" s="43"/>
      <c r="S189" s="43"/>
    </row>
    <row r="190" spans="2:19" x14ac:dyDescent="0.2">
      <c r="B190" s="34" t="str">
        <f>'[1]General System Parameters'!B44</f>
        <v>(4p)^3 (dB)</v>
      </c>
      <c r="C190" s="35">
        <f>'[1]General System Parameters'!C44</f>
        <v>32.976295920662885</v>
      </c>
      <c r="F190" s="43"/>
      <c r="G190" s="43"/>
      <c r="H190" s="43"/>
      <c r="I190" s="43"/>
      <c r="J190" s="43"/>
      <c r="K190" s="43"/>
      <c r="L190" s="43"/>
      <c r="M190" s="43"/>
      <c r="N190" s="43"/>
      <c r="O190" s="43"/>
      <c r="P190" s="43"/>
      <c r="Q190" s="43"/>
      <c r="R190" s="43"/>
      <c r="S190" s="43"/>
    </row>
    <row r="191" spans="2:19" x14ac:dyDescent="0.2">
      <c r="B191" s="34" t="str">
        <f>'[1]General System Parameters'!B45</f>
        <v>Miscellaneous Losses (dB)</v>
      </c>
      <c r="C191" s="35">
        <f>'[1]General System Parameters'!C45</f>
        <v>0</v>
      </c>
      <c r="F191" s="43"/>
      <c r="G191" s="43"/>
      <c r="H191" s="43"/>
      <c r="I191" s="43"/>
      <c r="J191" s="43"/>
      <c r="K191" s="43"/>
      <c r="L191" s="43"/>
      <c r="M191" s="43"/>
      <c r="N191" s="43"/>
      <c r="O191" s="43"/>
      <c r="P191" s="43"/>
      <c r="Q191" s="43"/>
      <c r="R191" s="43"/>
      <c r="S191" s="43"/>
    </row>
    <row r="192" spans="2:19" x14ac:dyDescent="0.2">
      <c r="B192" s="36" t="str">
        <f>'[1]General System Parameters'!B46</f>
        <v>FFT Window: BH</v>
      </c>
      <c r="C192" s="31" t="str">
        <f>'[1]General System Parameters'!C46</f>
        <v>BH</v>
      </c>
      <c r="F192" s="43"/>
      <c r="G192" s="43"/>
      <c r="H192" s="43"/>
      <c r="I192" s="43"/>
      <c r="J192" s="43"/>
      <c r="K192" s="43"/>
      <c r="L192" s="43"/>
      <c r="M192" s="43"/>
      <c r="N192" s="43"/>
      <c r="O192" s="43"/>
      <c r="P192" s="43"/>
      <c r="Q192" s="43"/>
      <c r="R192" s="43"/>
      <c r="S192" s="43"/>
    </row>
    <row r="193" spans="2:19" x14ac:dyDescent="0.2">
      <c r="B193" s="34" t="str">
        <f>'[1]General System Parameters'!B47</f>
        <v>Signal Gain Loss (dB)</v>
      </c>
      <c r="C193" s="35">
        <f>'[1]General System Parameters'!C47</f>
        <v>8.9499999999999993</v>
      </c>
      <c r="F193" s="43"/>
      <c r="G193" s="43"/>
      <c r="H193" s="43"/>
      <c r="I193" s="43"/>
      <c r="J193" s="43"/>
      <c r="K193" s="43"/>
      <c r="L193" s="43"/>
      <c r="M193" s="43"/>
      <c r="N193" s="43"/>
      <c r="O193" s="43"/>
      <c r="P193" s="43"/>
      <c r="Q193" s="43"/>
      <c r="R193" s="43"/>
      <c r="S193" s="43"/>
    </row>
    <row r="194" spans="2:19" x14ac:dyDescent="0.2">
      <c r="B194" s="34" t="str">
        <f>'[1]General System Parameters'!B48</f>
        <v>Noise Gain Loss (dB)</v>
      </c>
      <c r="C194" s="35">
        <f>'[1]General System Parameters'!C48</f>
        <v>5.9</v>
      </c>
      <c r="F194" s="43"/>
      <c r="G194" s="43"/>
      <c r="H194" s="43"/>
      <c r="I194" s="43"/>
      <c r="J194" s="43"/>
      <c r="K194" s="43"/>
      <c r="L194" s="43"/>
      <c r="M194" s="43"/>
      <c r="N194" s="43"/>
      <c r="O194" s="43"/>
      <c r="P194" s="43"/>
      <c r="Q194" s="43"/>
      <c r="R194" s="43"/>
      <c r="S194" s="43"/>
    </row>
    <row r="195" spans="2:19" x14ac:dyDescent="0.2">
      <c r="B195" s="34" t="str">
        <f>'[1]General System Parameters'!B49</f>
        <v>Normalized ENBW (dB)</v>
      </c>
      <c r="C195" s="35">
        <f>'[1]General System Parameters'!C49</f>
        <v>3.0499999999999989</v>
      </c>
      <c r="F195" s="43"/>
      <c r="G195" s="43"/>
      <c r="H195" s="43"/>
      <c r="I195" s="43"/>
      <c r="J195" s="43"/>
      <c r="K195" s="43"/>
      <c r="L195" s="43"/>
      <c r="M195" s="43"/>
      <c r="N195" s="43"/>
      <c r="O195" s="43"/>
      <c r="P195" s="43"/>
      <c r="Q195" s="43"/>
      <c r="R195" s="43"/>
      <c r="S195" s="43"/>
    </row>
    <row r="196" spans="2:19" x14ac:dyDescent="0.2">
      <c r="B196" s="34" t="str">
        <f>'[1]General System Parameters'!B50</f>
        <v>Window 3dB BW (bins)</v>
      </c>
      <c r="C196" s="35">
        <f>'[1]General System Parameters'!C50</f>
        <v>1.9</v>
      </c>
      <c r="F196" s="43"/>
      <c r="G196" s="43"/>
      <c r="H196" s="43"/>
      <c r="I196" s="43"/>
      <c r="J196" s="43"/>
      <c r="K196" s="43"/>
      <c r="L196" s="43"/>
      <c r="M196" s="43"/>
      <c r="N196" s="43"/>
      <c r="O196" s="43"/>
      <c r="P196" s="43"/>
      <c r="Q196" s="43"/>
      <c r="R196" s="43"/>
      <c r="S196" s="43"/>
    </row>
    <row r="197" spans="2:19" x14ac:dyDescent="0.2">
      <c r="B197" s="34" t="str">
        <f>'[1]General System Parameters'!B51</f>
        <v>Window 6dB BW (bins)</v>
      </c>
      <c r="C197" s="35">
        <f>'[1]General System Parameters'!C51</f>
        <v>2.72</v>
      </c>
      <c r="F197" s="43"/>
      <c r="G197" s="43"/>
      <c r="H197" s="43"/>
      <c r="I197" s="43"/>
      <c r="J197" s="43"/>
      <c r="K197" s="43"/>
      <c r="L197" s="43"/>
      <c r="M197" s="43"/>
      <c r="N197" s="43"/>
      <c r="O197" s="43"/>
      <c r="P197" s="43"/>
      <c r="Q197" s="43"/>
      <c r="R197" s="43"/>
      <c r="S197" s="43"/>
    </row>
    <row r="198" spans="2:19" x14ac:dyDescent="0.2">
      <c r="B198" s="34" t="str">
        <f>'[1]General System Parameters'!B52</f>
        <v>Scallop Loss (dB)</v>
      </c>
      <c r="C198" s="35">
        <f>'[1]General System Parameters'!C52</f>
        <v>0.41278500000000001</v>
      </c>
      <c r="F198" s="43"/>
      <c r="G198" s="43"/>
      <c r="H198" s="43"/>
      <c r="I198" s="43"/>
      <c r="J198" s="43"/>
      <c r="K198" s="43"/>
      <c r="L198" s="43"/>
      <c r="M198" s="43"/>
      <c r="N198" s="43"/>
      <c r="O198" s="43"/>
      <c r="P198" s="43"/>
      <c r="Q198" s="43"/>
      <c r="R198" s="43"/>
      <c r="S198" s="43"/>
    </row>
    <row r="199" spans="2:19" x14ac:dyDescent="0.2">
      <c r="B199" s="32" t="str">
        <f>'[1]General System Parameters'!B53</f>
        <v>Rectangular 6dB BW (bins)</v>
      </c>
      <c r="C199" s="33">
        <f>'[1]General System Parameters'!C53</f>
        <v>1.21</v>
      </c>
      <c r="F199" s="43"/>
      <c r="G199" s="43"/>
      <c r="H199" s="43"/>
      <c r="I199" s="43"/>
      <c r="J199" s="43"/>
      <c r="K199" s="43"/>
      <c r="L199" s="43"/>
      <c r="M199" s="43"/>
      <c r="N199" s="43"/>
      <c r="O199" s="43"/>
      <c r="P199" s="43"/>
      <c r="Q199" s="43"/>
      <c r="R199" s="43"/>
      <c r="S199" s="43"/>
    </row>
    <row r="200" spans="2:19" x14ac:dyDescent="0.2">
      <c r="B200" s="34" t="str">
        <f>'[1]General System Parameters'!B54</f>
        <v>Window Peak Spreading (bins)</v>
      </c>
      <c r="C200" s="35">
        <f>'[1]General System Parameters'!C54</f>
        <v>9</v>
      </c>
      <c r="F200" s="43"/>
      <c r="G200" s="43"/>
      <c r="H200" s="43"/>
      <c r="I200" s="43"/>
      <c r="J200" s="43"/>
      <c r="K200" s="43"/>
      <c r="L200" s="43"/>
      <c r="M200" s="43"/>
      <c r="N200" s="43"/>
      <c r="O200" s="43"/>
      <c r="P200" s="43"/>
      <c r="Q200" s="43"/>
      <c r="R200" s="43"/>
      <c r="S200" s="43"/>
    </row>
    <row r="201" spans="2:19" x14ac:dyDescent="0.2">
      <c r="B201" s="36" t="str">
        <f>'[1]General System Parameters'!B55</f>
        <v>#samples for noise estimation</v>
      </c>
      <c r="C201" s="31">
        <f>'[1]General System Parameters'!C55</f>
        <v>12</v>
      </c>
      <c r="F201" s="43"/>
      <c r="G201" s="43"/>
      <c r="H201" s="43"/>
      <c r="I201" s="43"/>
      <c r="J201" s="43"/>
      <c r="K201" s="43"/>
      <c r="L201" s="43"/>
      <c r="M201" s="43"/>
      <c r="N201" s="43"/>
      <c r="O201" s="43"/>
      <c r="P201" s="43"/>
      <c r="Q201" s="43"/>
      <c r="R201" s="43"/>
      <c r="S201" s="43"/>
    </row>
    <row r="202" spans="2:19" x14ac:dyDescent="0.2">
      <c r="B202" s="34" t="str">
        <f>'[1]General System Parameters'!B56</f>
        <v>Straddling Loss (dB) - w/o OL</v>
      </c>
      <c r="C202" s="35">
        <f>'[1]General System Parameters'!C56</f>
        <v>3</v>
      </c>
    </row>
    <row r="203" spans="2:19" x14ac:dyDescent="0.2">
      <c r="B203" s="34" t="str">
        <f>'[1]General System Parameters'!B57</f>
        <v>Straddling Loss (dB) - with 50% OL</v>
      </c>
      <c r="C203" s="35">
        <f>'[1]General System Parameters'!C57</f>
        <v>1.25</v>
      </c>
    </row>
    <row r="204" spans="2:19" x14ac:dyDescent="0.2">
      <c r="B204" s="30" t="str">
        <f>'[1]General System Parameters'!B58</f>
        <v>Freq Desynchronization factor (ppb)</v>
      </c>
      <c r="C204" s="31">
        <f>'[1]General System Parameters'!C58</f>
        <v>5</v>
      </c>
    </row>
    <row r="205" spans="2:19" x14ac:dyDescent="0.2">
      <c r="B205" s="34" t="str">
        <f>'[1]General System Parameters'!B59</f>
        <v>Freq Desynchronization factor (Hz)</v>
      </c>
      <c r="C205" s="35">
        <f>'[1]General System Parameters'!C59</f>
        <v>17.5</v>
      </c>
    </row>
    <row r="206" spans="2:19" x14ac:dyDescent="0.2">
      <c r="B206" s="34" t="str">
        <f>'[1]General System Parameters'!B60</f>
        <v>Freq Desynchronization factor (m/s)</v>
      </c>
      <c r="C206" s="35">
        <f>'[1]General System Parameters'!C60</f>
        <v>0.74948114500000007</v>
      </c>
    </row>
    <row r="207" spans="2:19" x14ac:dyDescent="0.2">
      <c r="B207" s="30" t="str">
        <f>'[1]General System Parameters'!B61</f>
        <v>Time Desynchronization factor (ppm)</v>
      </c>
      <c r="C207" s="31">
        <f>'[1]General System Parameters'!C61</f>
        <v>0.2</v>
      </c>
    </row>
    <row r="208" spans="2:19" x14ac:dyDescent="0.2">
      <c r="B208" s="30" t="str">
        <f>'[1]General System Parameters'!B62</f>
        <v>Synchronization window per seq (μs)</v>
      </c>
      <c r="C208" s="31">
        <f>'[1]General System Parameters'!C62</f>
        <v>0.1</v>
      </c>
    </row>
    <row r="209" spans="2:3" s="6" customFormat="1" x14ac:dyDescent="0.2">
      <c r="B209" s="117" t="str">
        <f>'[1]General System Parameters'!B63</f>
        <v>#RG in Optimized Mode (one side)</v>
      </c>
      <c r="C209" s="118">
        <f>'[1]General System Parameters'!C63</f>
        <v>7</v>
      </c>
    </row>
    <row r="210" spans="2:3" s="6" customFormat="1" x14ac:dyDescent="0.2">
      <c r="B210" s="30" t="str">
        <f>'[1]General System Parameters'!B64</f>
        <v>Total #RG in Optimized Mode</v>
      </c>
      <c r="C210" s="31">
        <f>'[1]General System Parameters'!C64</f>
        <v>15</v>
      </c>
    </row>
  </sheetData>
  <mergeCells count="4">
    <mergeCell ref="B150:D150"/>
    <mergeCell ref="C1:D1"/>
    <mergeCell ref="E1:T1"/>
    <mergeCell ref="B145:D145"/>
  </mergeCells>
  <conditionalFormatting sqref="D61">
    <cfRule type="cellIs" dxfId="16" priority="5" operator="greaterThan">
      <formula>3</formula>
    </cfRule>
  </conditionalFormatting>
  <conditionalFormatting sqref="D59">
    <cfRule type="expression" dxfId="15" priority="4">
      <formula>AND(D$59 &gt; D$50, D$49&gt;1)</formula>
    </cfRule>
  </conditionalFormatting>
  <conditionalFormatting sqref="C61">
    <cfRule type="cellIs" dxfId="14" priority="3" operator="greaterThan">
      <formula>3</formula>
    </cfRule>
  </conditionalFormatting>
  <conditionalFormatting sqref="C49">
    <cfRule type="cellIs" dxfId="13" priority="2" operator="greaterThan">
      <formula>"2&amp;&amp;$C$57&gt;$C$58"</formula>
    </cfRule>
  </conditionalFormatting>
  <conditionalFormatting sqref="C59">
    <cfRule type="expression" dxfId="12" priority="1">
      <formula>AND($C$61 &gt; $C$52, $C$51&gt;1)</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Z210"/>
  <sheetViews>
    <sheetView topLeftCell="A10" workbookViewId="0">
      <selection activeCell="H42" sqref="H42"/>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20" t="str">
        <f>'Parameters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'Parameters List'!B4</f>
        <v>Antenna Number (1 or 2)</v>
      </c>
      <c r="C4" s="49"/>
      <c r="D4" s="49"/>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'Parameters List'!B5</f>
        <v>Steer Az (clockwise - positive)</v>
      </c>
      <c r="C5" s="49"/>
      <c r="D5" s="49"/>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'Parameters List'!B6</f>
        <v>Steer El (up - positive)</v>
      </c>
      <c r="C6" s="49"/>
      <c r="D6" s="49"/>
      <c r="E6" s="50"/>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'Parameters List'!B9</f>
        <v>Antenna Number (1 or 2)</v>
      </c>
      <c r="C9" s="49"/>
      <c r="D9" s="49"/>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'Parameters List'!B10</f>
        <v>Steer Az (clockwise - positive)</v>
      </c>
      <c r="C10" s="49"/>
      <c r="D10" s="49"/>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'Parameters List'!B11</f>
        <v>Steer El (up - positive)</v>
      </c>
      <c r="C11" s="49"/>
      <c r="D11" s="49"/>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'Parameters List'!B13</f>
        <v>Processing Channel Number (1 or 2)</v>
      </c>
      <c r="C13" s="49"/>
      <c r="D13" s="49"/>
      <c r="E13" s="33">
        <v>1</v>
      </c>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'Parameters List'!B14</f>
        <v>Beam type (relative to processing channel)</v>
      </c>
      <c r="C14" s="49"/>
      <c r="D14" s="49"/>
      <c r="E14" s="33">
        <v>1</v>
      </c>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'Parameters List'!B15</f>
        <v>Stagger number (1 or 2)</v>
      </c>
      <c r="C15" s="58"/>
      <c r="D15" s="58"/>
      <c r="E15" s="33">
        <v>1</v>
      </c>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'Parameters List'!B16</f>
        <v>Receiving Patch Group (1 or 2)</v>
      </c>
      <c r="C16" s="58"/>
      <c r="D16" s="58"/>
      <c r="E16" s="33">
        <v>1</v>
      </c>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'Parameters List'!B17</f>
        <v>Tracking (0 or 1)</v>
      </c>
      <c r="C17" s="58"/>
      <c r="D17" s="58"/>
      <c r="E17" s="33">
        <v>1</v>
      </c>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'Parameters List'!B18</f>
        <v>Stagger PRI Sequence (Chip Units)</v>
      </c>
      <c r="C18" s="58"/>
      <c r="D18" s="58"/>
      <c r="E18" s="123">
        <f t="shared" ref="E18:AJ18" si="0">IF(E$13=1, (E$14-1)*$C$31,IF(E$13=2,((E$14-1)*$D$31),""))</f>
        <v>0</v>
      </c>
      <c r="F18" s="123" t="str">
        <f t="shared" si="0"/>
        <v/>
      </c>
      <c r="G18" s="123" t="str">
        <f t="shared" si="0"/>
        <v/>
      </c>
      <c r="H18" s="123" t="str">
        <f t="shared" si="0"/>
        <v/>
      </c>
      <c r="I18" s="123" t="str">
        <f t="shared" si="0"/>
        <v/>
      </c>
      <c r="J18" s="123" t="str">
        <f t="shared" si="0"/>
        <v/>
      </c>
      <c r="K18" s="123" t="str">
        <f t="shared" si="0"/>
        <v/>
      </c>
      <c r="L18" s="123" t="str">
        <f t="shared" si="0"/>
        <v/>
      </c>
      <c r="M18" s="123" t="str">
        <f t="shared" si="0"/>
        <v/>
      </c>
      <c r="N18" s="123" t="str">
        <f t="shared" si="0"/>
        <v/>
      </c>
      <c r="O18" s="123" t="str">
        <f t="shared" si="0"/>
        <v/>
      </c>
      <c r="P18" s="123" t="str">
        <f t="shared" si="0"/>
        <v/>
      </c>
      <c r="Q18" s="123" t="str">
        <f t="shared" si="0"/>
        <v/>
      </c>
      <c r="R18" s="123" t="str">
        <f t="shared" si="0"/>
        <v/>
      </c>
      <c r="S18" s="123" t="str">
        <f t="shared" si="0"/>
        <v/>
      </c>
      <c r="T18" s="123" t="str">
        <f t="shared" si="0"/>
        <v/>
      </c>
      <c r="U18" s="123" t="str">
        <f t="shared" si="0"/>
        <v/>
      </c>
      <c r="V18" s="123" t="str">
        <f t="shared" si="0"/>
        <v/>
      </c>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CONCATENATE('XML File Parameters'!D2," XMLver",'XML File Parameters'!D3,".",'XML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'Parameters List'!B21</f>
        <v>Apply RG Optimization</v>
      </c>
      <c r="C21" s="64">
        <v>1</v>
      </c>
      <c r="D21" s="64">
        <v>0</v>
      </c>
      <c r="F21" s="43"/>
      <c r="G21" s="43"/>
      <c r="H21" s="43"/>
      <c r="I21" s="43"/>
      <c r="J21" s="43"/>
      <c r="K21" s="43"/>
      <c r="L21" s="43"/>
      <c r="M21" s="43"/>
      <c r="N21" s="43"/>
      <c r="O21" s="43"/>
      <c r="P21" s="43"/>
      <c r="Q21" s="43"/>
      <c r="R21" s="43"/>
      <c r="S21" s="43"/>
    </row>
    <row r="22" spans="1:78" x14ac:dyDescent="0.2">
      <c r="A22" s="91" t="s">
        <v>78</v>
      </c>
      <c r="B22" s="104" t="str">
        <f>'Parameters List'!B22</f>
        <v>Sequential Repetition</v>
      </c>
      <c r="C22" s="64">
        <v>1</v>
      </c>
      <c r="D22" s="64">
        <v>2</v>
      </c>
      <c r="F22" s="43"/>
      <c r="G22" s="43"/>
      <c r="H22" s="43"/>
      <c r="I22" s="43"/>
      <c r="J22" s="43"/>
      <c r="K22" s="43"/>
      <c r="L22" s="43"/>
      <c r="M22" s="43"/>
      <c r="N22" s="43"/>
      <c r="O22" s="43"/>
      <c r="P22" s="43"/>
      <c r="Q22" s="43"/>
      <c r="R22" s="43"/>
      <c r="S22" s="43"/>
    </row>
    <row r="23" spans="1:78" x14ac:dyDescent="0.2">
      <c r="A23" s="91" t="s">
        <v>78</v>
      </c>
      <c r="B23" s="104" t="str">
        <f>'Parameters List'!B23</f>
        <v>Max Dets to process</v>
      </c>
      <c r="C23" s="64">
        <v>256</v>
      </c>
      <c r="D23" s="64">
        <v>40</v>
      </c>
      <c r="E23" s="65"/>
      <c r="F23" s="43"/>
      <c r="G23" s="43"/>
      <c r="H23" s="43"/>
      <c r="I23" s="43"/>
      <c r="J23" s="43"/>
      <c r="K23" s="43"/>
      <c r="L23" s="43"/>
      <c r="M23" s="43"/>
      <c r="N23" s="43"/>
      <c r="O23" s="43"/>
      <c r="P23" s="43"/>
      <c r="Q23" s="43"/>
      <c r="R23" s="43"/>
      <c r="S23" s="43"/>
    </row>
    <row r="24" spans="1:78" x14ac:dyDescent="0.2">
      <c r="A24" s="91"/>
      <c r="B24" s="95" t="str">
        <f>'Parameters List'!B24</f>
        <v>Number of Steers</v>
      </c>
      <c r="C24" s="33">
        <f>COUNTIF(E$4:BP$4,"&gt;0")</f>
        <v>0</v>
      </c>
      <c r="D24" s="33">
        <f>COUNTIF(E$9:BP$9,"&gt;0")</f>
        <v>0</v>
      </c>
      <c r="E24" s="65"/>
      <c r="F24" s="43"/>
      <c r="G24" s="43"/>
      <c r="H24" s="43"/>
      <c r="I24" s="43"/>
      <c r="J24" s="43"/>
      <c r="K24" s="43"/>
      <c r="L24" s="43"/>
      <c r="M24" s="43"/>
      <c r="N24" s="43"/>
      <c r="O24" s="43"/>
      <c r="P24" s="43"/>
      <c r="Q24" s="43"/>
      <c r="R24" s="43"/>
      <c r="S24" s="43"/>
    </row>
    <row r="25" spans="1:78" x14ac:dyDescent="0.2">
      <c r="A25" s="91"/>
      <c r="B25" s="95" t="str">
        <f>'Parameters List'!B25</f>
        <v>Number of Beam Types</v>
      </c>
      <c r="C25" s="33">
        <f>COUNTIFS($E$13:$AJ$13,"=1",$E$15:$AJ$15,"=1")</f>
        <v>1</v>
      </c>
      <c r="D25" s="33">
        <f>COUNTIFS($E$13:$AJ$13,"=2",$E$15:$AJ$15,"=1")</f>
        <v>0</v>
      </c>
      <c r="E25" s="65"/>
      <c r="F25" s="43"/>
      <c r="G25" s="43"/>
      <c r="H25" s="43"/>
      <c r="I25" s="43"/>
      <c r="J25" s="43"/>
      <c r="K25" s="43"/>
      <c r="L25" s="43"/>
      <c r="M25" s="43"/>
      <c r="N25" s="43"/>
      <c r="O25" s="43"/>
      <c r="P25" s="43"/>
      <c r="Q25" s="43"/>
      <c r="R25" s="43"/>
      <c r="S25" s="43"/>
    </row>
    <row r="26" spans="1:78" x14ac:dyDescent="0.2">
      <c r="A26" s="91"/>
      <c r="B26" s="95" t="str">
        <f>'Parameters List'!B26</f>
        <v>Number of Beams</v>
      </c>
      <c r="C26" s="33">
        <f>COUNTIF($E$13:$AJ$13,"=1")</f>
        <v>1</v>
      </c>
      <c r="D26" s="33">
        <f>COUNTIF($E$13:$AJ$13,"=2")</f>
        <v>0</v>
      </c>
      <c r="E26" s="65"/>
      <c r="F26" s="43"/>
      <c r="G26" s="43"/>
      <c r="H26" s="43"/>
      <c r="I26" s="43"/>
      <c r="J26" s="43"/>
      <c r="K26" s="43"/>
      <c r="L26" s="43"/>
      <c r="M26" s="43"/>
      <c r="N26" s="43"/>
      <c r="O26" s="43"/>
      <c r="P26" s="43"/>
      <c r="Q26" s="43"/>
      <c r="R26" s="43"/>
      <c r="S26" s="43"/>
    </row>
    <row r="27" spans="1:78" x14ac:dyDescent="0.2">
      <c r="A27" s="91"/>
      <c r="B27" s="95" t="str">
        <f>'Parameters List'!B27</f>
        <v>Number of Beams at Antenna1</v>
      </c>
      <c r="C27" s="33">
        <f>IF(COUNTIF($E$4:$BP$4,"=1")&gt;=C$25,C$26,COUNTIF($E$4:$BP$4,"=1")*C$26/C$25)</f>
        <v>0</v>
      </c>
      <c r="D27" s="33">
        <f>IF(COUNTIF($E$9:$BP$9,"=1")&gt;=D$25,D$26,COUNTIF($E$9:$BP$9,"=1")*D$26/D$25)</f>
        <v>0</v>
      </c>
      <c r="E27" s="65"/>
      <c r="F27" s="43"/>
      <c r="G27" s="43"/>
      <c r="H27" s="43"/>
      <c r="I27" s="43"/>
      <c r="J27" s="43"/>
      <c r="K27" s="43"/>
      <c r="L27" s="43"/>
      <c r="M27" s="43"/>
      <c r="N27" s="43"/>
      <c r="O27" s="43"/>
      <c r="P27" s="43"/>
      <c r="Q27" s="43"/>
      <c r="R27" s="43"/>
      <c r="S27" s="43"/>
    </row>
    <row r="28" spans="1:78" x14ac:dyDescent="0.2">
      <c r="A28" s="91"/>
      <c r="B28" s="95" t="str">
        <f>'Parameters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'Parameters List'!B29</f>
        <v>Desired CPI (ms)</v>
      </c>
      <c r="C29" s="64">
        <v>302</v>
      </c>
      <c r="D29" s="64">
        <v>5</v>
      </c>
      <c r="G29" s="43"/>
      <c r="H29" s="43"/>
      <c r="I29" s="43"/>
      <c r="J29" s="43"/>
      <c r="K29" s="43"/>
      <c r="L29" s="43"/>
      <c r="M29" s="43"/>
      <c r="N29" s="43"/>
      <c r="O29" s="43"/>
      <c r="P29" s="43"/>
      <c r="Q29" s="43"/>
      <c r="R29" s="43"/>
      <c r="S29" s="43"/>
    </row>
    <row r="30" spans="1:78" x14ac:dyDescent="0.2">
      <c r="A30" s="91" t="s">
        <v>78</v>
      </c>
      <c r="B30" s="95" t="str">
        <f>'Parameters List'!B30</f>
        <v>Actual CPI (ms)</v>
      </c>
      <c r="C30" s="33">
        <f>(C$49*$C$104*C$51)/1000</f>
        <v>301.46559999999999</v>
      </c>
      <c r="D30" s="33">
        <f>(D$49*$C$104*D$51)/1000</f>
        <v>4.9311999999999996</v>
      </c>
      <c r="F30" s="43"/>
      <c r="G30" s="43"/>
      <c r="H30" s="43"/>
      <c r="I30" s="43"/>
      <c r="J30" s="43"/>
      <c r="K30" s="43"/>
      <c r="L30" s="43"/>
      <c r="M30" s="43"/>
      <c r="N30" s="43"/>
      <c r="O30" s="43"/>
      <c r="P30" s="43"/>
      <c r="Q30" s="43"/>
      <c r="R30" s="43"/>
      <c r="S30" s="43"/>
    </row>
    <row r="31" spans="1:78" x14ac:dyDescent="0.2">
      <c r="A31" s="91" t="s">
        <v>78</v>
      </c>
      <c r="B31" s="94" t="str">
        <f>'Parameters List'!B31</f>
        <v>Multi Stagger - PRI Ext (in Chip Units)</v>
      </c>
      <c r="C31" s="64">
        <v>0</v>
      </c>
      <c r="D31" s="64">
        <v>0</v>
      </c>
      <c r="E31" s="65"/>
      <c r="F31" s="119"/>
      <c r="G31" s="43"/>
      <c r="H31" s="43"/>
      <c r="I31" s="43"/>
      <c r="J31" s="43"/>
      <c r="K31" s="43"/>
      <c r="L31" s="43"/>
      <c r="M31" s="43"/>
      <c r="N31" s="43"/>
      <c r="O31" s="43"/>
      <c r="P31" s="43"/>
      <c r="Q31" s="43"/>
      <c r="R31" s="43"/>
      <c r="S31" s="43"/>
    </row>
    <row r="32" spans="1:78" x14ac:dyDescent="0.2">
      <c r="A32" s="91" t="s">
        <v>78</v>
      </c>
      <c r="B32" s="94" t="str">
        <f>'Parameters List'!B32</f>
        <v>Stagger1 PRI (µs)</v>
      </c>
      <c r="C32" s="64">
        <v>4.5</v>
      </c>
      <c r="D32" s="64">
        <v>14</v>
      </c>
      <c r="F32" s="43"/>
      <c r="G32" s="43"/>
      <c r="H32" s="43"/>
      <c r="I32" s="43"/>
      <c r="J32" s="43"/>
      <c r="K32" s="43"/>
      <c r="L32" s="43"/>
      <c r="M32" s="43"/>
      <c r="N32" s="43"/>
      <c r="O32" s="43"/>
      <c r="P32" s="43"/>
      <c r="Q32" s="43"/>
      <c r="R32" s="43"/>
      <c r="S32" s="43"/>
    </row>
    <row r="33" spans="1:19" x14ac:dyDescent="0.2">
      <c r="A33" s="91" t="s">
        <v>78</v>
      </c>
      <c r="B33" s="94" t="str">
        <f>'Parameters List'!B33</f>
        <v>Stagger2 PRI (µs)</v>
      </c>
      <c r="C33" s="64">
        <v>0</v>
      </c>
      <c r="D33" s="64">
        <v>0</v>
      </c>
      <c r="F33" s="43"/>
      <c r="G33" s="43"/>
      <c r="H33" s="43"/>
      <c r="I33" s="43"/>
      <c r="J33" s="43"/>
      <c r="K33" s="43"/>
      <c r="L33" s="43"/>
      <c r="M33" s="43"/>
      <c r="N33" s="43"/>
      <c r="O33" s="43"/>
      <c r="P33" s="43"/>
      <c r="Q33" s="43"/>
      <c r="R33" s="43"/>
      <c r="S33" s="43"/>
    </row>
    <row r="34" spans="1:19" x14ac:dyDescent="0.2">
      <c r="A34" s="91" t="s">
        <v>81</v>
      </c>
      <c r="B34" s="95" t="str">
        <f>'Parameters List'!B34</f>
        <v>Number of Staggers (1 or 2)</v>
      </c>
      <c r="C34" s="67">
        <f>1*(C$32&lt;&gt;0)+1*(C$33&lt;&gt;0)</f>
        <v>1</v>
      </c>
      <c r="D34" s="67">
        <f>1*(D$32&lt;&gt;0)+1*(D$33&lt;&gt;0)</f>
        <v>1</v>
      </c>
      <c r="F34" s="43"/>
      <c r="G34" s="43"/>
      <c r="H34" s="43"/>
      <c r="I34" s="43"/>
      <c r="J34" s="43"/>
      <c r="K34" s="43"/>
      <c r="L34" s="43"/>
      <c r="M34" s="43"/>
      <c r="N34" s="43"/>
      <c r="O34" s="43"/>
      <c r="P34" s="43"/>
      <c r="Q34" s="43"/>
      <c r="R34" s="43"/>
      <c r="S34" s="43"/>
    </row>
    <row r="35" spans="1:19" x14ac:dyDescent="0.2">
      <c r="A35" s="91"/>
      <c r="B35" s="94" t="str">
        <f>'Parameters List'!B35</f>
        <v>Stagger Loss (dB)</v>
      </c>
      <c r="C35" s="64">
        <v>0</v>
      </c>
      <c r="D35" s="64">
        <v>3.01</v>
      </c>
      <c r="F35" s="43"/>
      <c r="G35" s="43"/>
      <c r="H35" s="43"/>
      <c r="I35" s="43"/>
      <c r="J35" s="43"/>
      <c r="K35" s="43"/>
      <c r="L35" s="43"/>
      <c r="M35" s="43"/>
      <c r="N35" s="43"/>
      <c r="O35" s="43"/>
      <c r="P35" s="43"/>
      <c r="Q35" s="43"/>
      <c r="R35" s="43"/>
      <c r="S35" s="43"/>
    </row>
    <row r="36" spans="1:19" x14ac:dyDescent="0.2">
      <c r="A36" s="91" t="s">
        <v>78</v>
      </c>
      <c r="B36" s="95" t="str">
        <f>'Parameters List'!B36</f>
        <v>PW (µs)</v>
      </c>
      <c r="C36" s="33">
        <f>C$46*C$48*$C$174</f>
        <v>0.4</v>
      </c>
      <c r="D36" s="33">
        <f>D$46*D$48*$C$174</f>
        <v>3.9000000000000004</v>
      </c>
      <c r="F36" s="43"/>
      <c r="G36" s="43"/>
      <c r="H36" s="43"/>
      <c r="I36" s="43"/>
      <c r="J36" s="43"/>
      <c r="K36" s="43"/>
      <c r="L36" s="43"/>
      <c r="M36" s="43"/>
      <c r="N36" s="43"/>
      <c r="O36" s="43"/>
      <c r="P36" s="43"/>
      <c r="Q36" s="43"/>
      <c r="R36" s="43"/>
      <c r="S36" s="43"/>
    </row>
    <row r="37" spans="1:19" x14ac:dyDescent="0.2">
      <c r="A37" s="91" t="s">
        <v>78</v>
      </c>
      <c r="B37" s="95" t="str">
        <f>'Parameters List'!B37</f>
        <v>Actual Bandwidth (MHz)</v>
      </c>
      <c r="C37" s="33">
        <f>2*C$48/(C$36*(2*(C$48=2)+1*(C$48&lt;&gt;2)))</f>
        <v>5</v>
      </c>
      <c r="D37" s="33">
        <f>2*D$48/(D$36*(2*(D$48=2)+1*(D$48&lt;&gt;2)))</f>
        <v>6.6666666666666661</v>
      </c>
      <c r="F37" s="43"/>
      <c r="G37" s="43"/>
      <c r="H37" s="43"/>
      <c r="I37" s="43"/>
      <c r="J37" s="43"/>
      <c r="K37" s="43"/>
      <c r="L37" s="43"/>
      <c r="M37" s="43"/>
      <c r="N37" s="43"/>
      <c r="O37" s="43"/>
      <c r="P37" s="43"/>
      <c r="Q37" s="43"/>
      <c r="R37" s="43"/>
      <c r="S37" s="43"/>
    </row>
    <row r="38" spans="1:19" x14ac:dyDescent="0.2">
      <c r="A38" s="91" t="s">
        <v>81</v>
      </c>
      <c r="B38" s="95" t="str">
        <f>'Parameters List'!B38</f>
        <v>Range Resolution (m)</v>
      </c>
      <c r="C38" s="67">
        <f>$C$163*C$36 /C$48*(2*(C$48=2)+1*(C$48&lt;&gt;2))</f>
        <v>59.958491600000002</v>
      </c>
      <c r="D38" s="67">
        <f>$C$163*D$36 /D$48*(2*(D$48=2)+1*(D$48&lt;&gt;2))</f>
        <v>44.968868700000002</v>
      </c>
      <c r="F38" s="43"/>
      <c r="G38" s="43"/>
      <c r="H38" s="43"/>
      <c r="I38" s="43"/>
      <c r="J38" s="43"/>
      <c r="K38" s="43"/>
      <c r="L38" s="43"/>
      <c r="M38" s="43"/>
      <c r="N38" s="43"/>
      <c r="O38" s="43"/>
      <c r="P38" s="43"/>
      <c r="Q38" s="43"/>
      <c r="R38" s="43"/>
      <c r="S38" s="43"/>
    </row>
    <row r="39" spans="1:19" x14ac:dyDescent="0.2">
      <c r="A39" s="91" t="s">
        <v>81</v>
      </c>
      <c r="B39" s="95" t="str">
        <f>'Parameters List'!B39</f>
        <v>Range Gate Width (m)</v>
      </c>
      <c r="C39" s="67">
        <f>C$38*(1*(C$47=0)+0.5*(C$47&lt;&gt;0))</f>
        <v>29.979245800000001</v>
      </c>
      <c r="D39" s="67">
        <f>D$38*(1*(D$47=0)+0.5*(D$47&lt;&gt;0))</f>
        <v>22.484434350000001</v>
      </c>
      <c r="F39" s="43"/>
      <c r="G39" s="43"/>
      <c r="H39" s="43"/>
      <c r="I39" s="43"/>
      <c r="J39" s="43"/>
      <c r="K39" s="43"/>
      <c r="L39" s="43"/>
      <c r="M39" s="43"/>
      <c r="N39" s="43"/>
      <c r="O39" s="43"/>
      <c r="P39" s="43"/>
      <c r="Q39" s="43"/>
      <c r="R39" s="43"/>
      <c r="S39" s="43"/>
    </row>
    <row r="40" spans="1:19" x14ac:dyDescent="0.2">
      <c r="A40" s="91" t="s">
        <v>78</v>
      </c>
      <c r="B40" s="94" t="str">
        <f>'Parameters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'Parameters List'!B41</f>
        <v>Min Range Offset (m)</v>
      </c>
      <c r="C41" s="64">
        <v>30</v>
      </c>
      <c r="D41" s="64">
        <v>0</v>
      </c>
      <c r="F41" s="43"/>
      <c r="G41" s="43"/>
      <c r="H41" s="43"/>
      <c r="I41" s="43"/>
      <c r="J41" s="43"/>
      <c r="K41" s="43"/>
      <c r="L41" s="43"/>
      <c r="M41" s="43"/>
      <c r="N41" s="43"/>
      <c r="O41" s="43"/>
      <c r="P41" s="43"/>
      <c r="Q41" s="43"/>
      <c r="R41" s="43"/>
      <c r="S41" s="43"/>
    </row>
    <row r="42" spans="1:19" x14ac:dyDescent="0.2">
      <c r="A42" s="91" t="s">
        <v>78</v>
      </c>
      <c r="B42" s="94" t="str">
        <f>'Parameters List'!B42</f>
        <v>Max Range Offset (m)</v>
      </c>
      <c r="C42" s="64">
        <v>30</v>
      </c>
      <c r="D42" s="64">
        <v>0</v>
      </c>
      <c r="F42" s="43"/>
      <c r="G42" s="43"/>
      <c r="H42" s="43"/>
      <c r="I42" s="43"/>
      <c r="J42" s="43"/>
      <c r="K42" s="43"/>
      <c r="L42" s="43"/>
      <c r="M42" s="43"/>
      <c r="N42" s="43"/>
      <c r="O42" s="43"/>
      <c r="P42" s="43"/>
      <c r="Q42" s="43"/>
      <c r="R42" s="43"/>
      <c r="S42" s="43"/>
    </row>
    <row r="43" spans="1:19" x14ac:dyDescent="0.2">
      <c r="A43" s="91" t="s">
        <v>78</v>
      </c>
      <c r="B43" s="95" t="str">
        <f>'Parameters List'!B43</f>
        <v>Min Range (m)</v>
      </c>
      <c r="C43" s="67">
        <f>$C$163*C$36 + C$41</f>
        <v>89.958491600000002</v>
      </c>
      <c r="D43" s="67">
        <f>$C$163*D$36 + D$41</f>
        <v>584.59529310000005</v>
      </c>
      <c r="F43" s="43"/>
      <c r="G43" s="43"/>
      <c r="H43" s="43"/>
      <c r="I43" s="43"/>
      <c r="J43" s="43"/>
      <c r="K43" s="43"/>
      <c r="L43" s="43"/>
      <c r="M43" s="43"/>
      <c r="N43" s="43"/>
      <c r="O43" s="43"/>
      <c r="P43" s="43"/>
      <c r="Q43" s="43"/>
      <c r="R43" s="43"/>
      <c r="S43" s="43"/>
    </row>
    <row r="44" spans="1:19" x14ac:dyDescent="0.2">
      <c r="A44" s="91" t="s">
        <v>78</v>
      </c>
      <c r="B44" s="95" t="str">
        <f>'Parameters List'!B44</f>
        <v>Max Range (m)</v>
      </c>
      <c r="C44" s="67">
        <f>$C$163*((C$45-1)*C$46*$C$174/IF(C$48=2,IF(C$47=1,1,0.5),IF(C$47=1,2,1)))+C$43</f>
        <v>539.64717859999996</v>
      </c>
      <c r="D44" s="67">
        <f>$C$163*((D$45-1)*D$46*$C$174/IF(D$48=2,IF(D$47=1,1,0.5),IF(D$47=1,2,1)))+D$43</f>
        <v>1483.9726671000001</v>
      </c>
      <c r="F44" s="43"/>
      <c r="G44" s="43"/>
      <c r="H44" s="43"/>
      <c r="I44" s="43"/>
      <c r="J44" s="43"/>
      <c r="K44" s="43"/>
      <c r="L44" s="43"/>
      <c r="M44" s="43"/>
      <c r="N44" s="43"/>
      <c r="O44" s="43"/>
      <c r="P44" s="43"/>
      <c r="Q44" s="43"/>
      <c r="R44" s="43"/>
      <c r="S44" s="43"/>
    </row>
    <row r="45" spans="1:19" x14ac:dyDescent="0.2">
      <c r="A45" s="91" t="s">
        <v>78</v>
      </c>
      <c r="B45" s="95" t="str">
        <f>'Parameters List'!B45</f>
        <v>NRG</v>
      </c>
      <c r="C45" s="33">
        <f>FLOOR((C$32-$C$161-2*C$36-(C$41+C$42)/$C$163)/(IF(C$48=2,IF(C$47=0,C$46*$C$174*2,C$46*$C$174),IF(C$47=0,C$46*$C$174,C$46*$C$174/2))),1)+1</f>
        <v>16</v>
      </c>
      <c r="D45" s="33">
        <f>FLOOR((D$32-$C$161-2*D$36-(D$41+D$42)/$C$163)/(IF(D$48=2,IF(D$47=0,D$46*$C$174*2,D$46*$C$174),IF(D$47=0,D$46*$C$174,D$46*$C$174/2))),1)+1</f>
        <v>41</v>
      </c>
      <c r="F45" s="43"/>
      <c r="G45" s="43"/>
      <c r="H45" s="43"/>
      <c r="I45" s="43"/>
      <c r="J45" s="43"/>
      <c r="K45" s="43"/>
      <c r="L45" s="43"/>
      <c r="M45" s="43"/>
      <c r="N45" s="43"/>
      <c r="O45" s="43"/>
      <c r="P45" s="43"/>
      <c r="Q45" s="43"/>
      <c r="R45" s="43"/>
      <c r="S45" s="43"/>
    </row>
    <row r="46" spans="1:19" x14ac:dyDescent="0.2">
      <c r="A46" s="91" t="s">
        <v>78</v>
      </c>
      <c r="B46" s="94" t="str">
        <f>'Parameters List'!B46</f>
        <v>TCHIP (even number)</v>
      </c>
      <c r="C46" s="64">
        <v>16</v>
      </c>
      <c r="D46" s="64">
        <v>24</v>
      </c>
      <c r="F46" s="43"/>
      <c r="G46" s="43"/>
      <c r="H46" s="43"/>
      <c r="I46" s="43"/>
      <c r="J46" s="43"/>
      <c r="K46" s="43"/>
      <c r="L46" s="43"/>
      <c r="M46" s="43"/>
      <c r="N46" s="43"/>
      <c r="O46" s="43"/>
      <c r="P46" s="43"/>
      <c r="Q46" s="43"/>
      <c r="R46" s="43"/>
      <c r="S46" s="43"/>
    </row>
    <row r="47" spans="1:19" x14ac:dyDescent="0.2">
      <c r="A47" s="91" t="s">
        <v>78</v>
      </c>
      <c r="B47" s="94" t="str">
        <f>'Parameters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'Parameters List'!B48</f>
        <v>NSERIES</v>
      </c>
      <c r="C48" s="64">
        <v>2</v>
      </c>
      <c r="D48" s="64">
        <v>13</v>
      </c>
      <c r="F48" s="43"/>
      <c r="G48" s="43"/>
      <c r="H48" s="43"/>
      <c r="I48" s="43"/>
      <c r="J48" s="43"/>
      <c r="K48" s="43"/>
      <c r="L48" s="43"/>
      <c r="M48" s="43"/>
      <c r="N48" s="43"/>
      <c r="O48" s="43"/>
      <c r="P48" s="43"/>
      <c r="Q48" s="43"/>
      <c r="R48" s="43"/>
      <c r="S48" s="43"/>
    </row>
    <row r="49" spans="1:19" x14ac:dyDescent="0.2">
      <c r="A49" s="91" t="s">
        <v>78</v>
      </c>
      <c r="B49" s="94" t="str">
        <f>'Parameters List'!B49</f>
        <v>POSTDEC</v>
      </c>
      <c r="C49" s="64">
        <v>16</v>
      </c>
      <c r="D49" s="64">
        <v>1</v>
      </c>
      <c r="F49" s="43"/>
      <c r="G49" s="43"/>
      <c r="H49" s="43"/>
      <c r="I49" s="43"/>
      <c r="J49" s="43"/>
      <c r="K49" s="43"/>
      <c r="L49" s="43"/>
      <c r="M49" s="43"/>
      <c r="N49" s="43"/>
      <c r="O49" s="43"/>
      <c r="P49" s="43"/>
      <c r="Q49" s="43"/>
      <c r="R49" s="43"/>
      <c r="S49" s="43"/>
    </row>
    <row r="50" spans="1:19" x14ac:dyDescent="0.2">
      <c r="A50" s="91"/>
      <c r="B50" s="80" t="str">
        <f>'Parameters List'!B50</f>
        <v>Max Abs Velocity Meas (m/s)</v>
      </c>
      <c r="C50" s="70">
        <f>1000000/($C$168*2*$C$104*C$49)</f>
        <v>290.94764945652179</v>
      </c>
      <c r="D50" s="70">
        <f>1000000/($C$168*2*$C$104*D$49)</f>
        <v>4655.1623913043486</v>
      </c>
      <c r="F50" s="43"/>
      <c r="G50" s="43"/>
      <c r="H50" s="43"/>
      <c r="I50" s="43"/>
      <c r="J50" s="43"/>
      <c r="K50" s="43"/>
      <c r="L50" s="43"/>
      <c r="M50" s="43"/>
      <c r="N50" s="43"/>
      <c r="O50" s="43"/>
      <c r="P50" s="43"/>
      <c r="Q50" s="43"/>
      <c r="R50" s="43"/>
      <c r="S50" s="43"/>
    </row>
    <row r="51" spans="1:19" x14ac:dyDescent="0.2">
      <c r="A51" s="91" t="s">
        <v>78</v>
      </c>
      <c r="B51" s="95" t="str">
        <f>'Parameters List'!B51</f>
        <v>Npoints (up to FFT length)</v>
      </c>
      <c r="C51" s="33">
        <f>FLOOR((1000*C$29/$C$104/C$49),16)</f>
        <v>4096</v>
      </c>
      <c r="D51" s="33">
        <f>FLOOR((1000*D$29/$C$104/D$49),16)</f>
        <v>1072</v>
      </c>
      <c r="F51" s="43"/>
      <c r="G51" s="43"/>
      <c r="H51" s="43"/>
      <c r="I51" s="43"/>
      <c r="J51" s="43"/>
      <c r="K51" s="43"/>
      <c r="L51" s="43"/>
      <c r="M51" s="43"/>
      <c r="N51" s="43"/>
      <c r="O51" s="43"/>
      <c r="P51" s="43"/>
      <c r="Q51" s="43"/>
      <c r="R51" s="43"/>
      <c r="S51" s="43"/>
    </row>
    <row r="52" spans="1:19" x14ac:dyDescent="0.2">
      <c r="A52" s="91" t="s">
        <v>78</v>
      </c>
      <c r="B52" s="95" t="str">
        <f>'Parameters List'!B52</f>
        <v>FFT length (limited to 8192)</v>
      </c>
      <c r="C52" s="33">
        <f>2^CEILING(LOG10(C51)/LOG10(2),1)</f>
        <v>4096</v>
      </c>
      <c r="D52" s="33">
        <f>2^CEILING(LOG10(D51)/LOG10(2),1)</f>
        <v>2048</v>
      </c>
      <c r="F52" s="43"/>
      <c r="G52" s="43"/>
      <c r="H52" s="43"/>
      <c r="I52" s="43"/>
      <c r="J52" s="43"/>
      <c r="K52" s="43"/>
      <c r="L52" s="43"/>
      <c r="M52" s="43"/>
      <c r="N52" s="43"/>
      <c r="O52" s="43"/>
      <c r="P52" s="43"/>
      <c r="Q52" s="43"/>
      <c r="R52" s="43"/>
      <c r="S52" s="43"/>
    </row>
    <row r="53" spans="1:19" x14ac:dyDescent="0.2">
      <c r="A53" s="91"/>
      <c r="B53" s="95" t="str">
        <f>'Parameters List'!B53</f>
        <v>NCRG(per rcvr,limited to 512)</v>
      </c>
      <c r="C53" s="67">
        <f>C$45*C$26</f>
        <v>16</v>
      </c>
      <c r="D53" s="67">
        <f>D$45*D$26</f>
        <v>0</v>
      </c>
      <c r="F53" s="43"/>
      <c r="G53" s="43"/>
      <c r="H53" s="43"/>
      <c r="I53" s="43"/>
      <c r="J53" s="43"/>
      <c r="K53" s="43"/>
      <c r="L53" s="43"/>
      <c r="M53" s="43"/>
      <c r="N53" s="43"/>
      <c r="O53" s="43"/>
      <c r="P53" s="43"/>
      <c r="Q53" s="43"/>
      <c r="R53" s="43"/>
      <c r="S53" s="43"/>
    </row>
    <row r="54" spans="1:19" x14ac:dyDescent="0.2">
      <c r="A54" s="91"/>
      <c r="B54" s="95" t="str">
        <f>'Parameters List'!B54</f>
        <v>NCRG(all rcvrs)</v>
      </c>
      <c r="C54" s="67">
        <f>C$53*$C$155</f>
        <v>80</v>
      </c>
      <c r="D54" s="67">
        <f>D$53*$C$155</f>
        <v>0</v>
      </c>
      <c r="F54" s="43"/>
      <c r="G54" s="43"/>
      <c r="H54" s="43"/>
      <c r="I54" s="43"/>
      <c r="J54" s="43"/>
      <c r="K54" s="43"/>
      <c r="L54" s="43"/>
      <c r="M54" s="43"/>
      <c r="N54" s="43"/>
      <c r="O54" s="43"/>
      <c r="P54" s="43"/>
      <c r="Q54" s="43"/>
      <c r="R54" s="43"/>
      <c r="S54" s="43"/>
    </row>
    <row r="55" spans="1:19" x14ac:dyDescent="0.2">
      <c r="A55" s="91"/>
      <c r="B55" s="95" t="str">
        <f>'Parameters List'!B55</f>
        <v>TCHIP (m)</v>
      </c>
      <c r="C55" s="67">
        <f>C46*$C$163*$C$174</f>
        <v>29.979245800000001</v>
      </c>
      <c r="D55" s="67">
        <f>D46*$C$163*$C$174</f>
        <v>44.968868700000002</v>
      </c>
      <c r="F55" s="43"/>
      <c r="G55" s="43"/>
      <c r="H55" s="43"/>
      <c r="I55" s="43"/>
      <c r="J55" s="43"/>
      <c r="K55" s="43"/>
      <c r="L55" s="43"/>
      <c r="M55" s="43"/>
      <c r="N55" s="43"/>
      <c r="O55" s="43"/>
      <c r="P55" s="43"/>
      <c r="Q55" s="43"/>
      <c r="R55" s="43"/>
      <c r="S55" s="43"/>
    </row>
    <row r="56" spans="1:19" x14ac:dyDescent="0.2">
      <c r="A56" s="91"/>
      <c r="B56" s="94" t="str">
        <f>'Parameters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'Parameters List'!B57</f>
        <v>Clutter Margin (m/s)</v>
      </c>
      <c r="C57" s="67">
        <f>IF($C$206+C$56&gt;0,$C$206+C$56+C$67*C$65*1,0)</f>
        <v>1.3177382728447691</v>
      </c>
      <c r="D57" s="67">
        <f>IF($C$206+D$56&gt;0,$C$206+D$56+D$67*D$65*1,0)</f>
        <v>37.117937327065214</v>
      </c>
      <c r="F57" s="43"/>
      <c r="G57" s="43"/>
      <c r="H57" s="43"/>
      <c r="I57" s="43"/>
      <c r="J57" s="43"/>
      <c r="K57" s="43"/>
      <c r="L57" s="43"/>
      <c r="M57" s="43"/>
      <c r="N57" s="43"/>
      <c r="O57" s="43"/>
      <c r="P57" s="43"/>
      <c r="Q57" s="43"/>
      <c r="R57" s="43"/>
      <c r="S57" s="43"/>
    </row>
    <row r="58" spans="1:19" x14ac:dyDescent="0.2">
      <c r="A58" s="91" t="s">
        <v>78</v>
      </c>
      <c r="B58" s="94" t="str">
        <f>'Parameters List'!B58</f>
        <v>Min Velocity (m/s)</v>
      </c>
      <c r="C58" s="64">
        <v>0</v>
      </c>
      <c r="D58" s="64">
        <v>0</v>
      </c>
      <c r="F58" s="43"/>
      <c r="G58" s="43"/>
      <c r="H58" s="43"/>
      <c r="I58" s="43"/>
      <c r="J58" s="43"/>
      <c r="K58" s="43"/>
      <c r="L58" s="43"/>
      <c r="M58" s="43"/>
      <c r="N58" s="43"/>
      <c r="O58" s="43"/>
      <c r="P58" s="43"/>
      <c r="Q58" s="43"/>
      <c r="R58" s="43"/>
      <c r="S58" s="43"/>
    </row>
    <row r="59" spans="1:19" x14ac:dyDescent="0.2">
      <c r="A59" s="91" t="s">
        <v>81</v>
      </c>
      <c r="B59" s="94" t="str">
        <f>'Parameters List'!B59</f>
        <v>Max Velocity (m/s)</v>
      </c>
      <c r="C59" s="64">
        <v>250</v>
      </c>
      <c r="D59" s="64">
        <v>20</v>
      </c>
      <c r="F59" s="43"/>
      <c r="G59" s="43"/>
      <c r="H59" s="43"/>
      <c r="I59" s="43"/>
      <c r="J59" s="43"/>
      <c r="K59" s="43"/>
      <c r="L59" s="43"/>
      <c r="M59" s="43"/>
      <c r="N59" s="43"/>
      <c r="O59" s="43"/>
      <c r="P59" s="43"/>
      <c r="Q59" s="43"/>
      <c r="R59" s="43"/>
      <c r="S59" s="43"/>
    </row>
    <row r="60" spans="1:19" x14ac:dyDescent="0.2">
      <c r="A60" s="91"/>
      <c r="B60" s="68" t="str">
        <f>'Parameters List'!B60</f>
        <v>Loss Velocity (m/s)</v>
      </c>
      <c r="C60" s="67">
        <f>C$38*1000/C$30</f>
        <v>198.88999474566916</v>
      </c>
      <c r="D60" s="67">
        <f>D$38*1000/D$30</f>
        <v>9119.2546844581448</v>
      </c>
      <c r="F60" s="43"/>
      <c r="G60" s="43"/>
      <c r="H60" s="43"/>
      <c r="I60" s="43"/>
      <c r="J60" s="43"/>
      <c r="K60" s="43"/>
      <c r="L60" s="43"/>
      <c r="M60" s="43"/>
      <c r="N60" s="43"/>
      <c r="O60" s="43"/>
      <c r="P60" s="43"/>
      <c r="Q60" s="43"/>
      <c r="R60" s="43"/>
      <c r="S60" s="43"/>
    </row>
    <row r="61" spans="1:19" x14ac:dyDescent="0.2">
      <c r="A61" s="92"/>
      <c r="B61" s="68" t="str">
        <f>'Parameters List'!B61</f>
        <v>Velocity Loss (dB)</v>
      </c>
      <c r="C61" s="67">
        <f>IF(C$59&lt;C$60, 0, IF(C$47=1, IF(C$59&lt;2*C$60, (C$59 / C$60)*0.5*$C$203, 10), IF(C$47=0, IF(C$59&lt;2*C$60, (C$59 / C$60)*$C$202-$C$202/2, 10), 10)))+(-20*LOG10(ABS(SIN(PI()*C$59*$C$168*C$36*10^-6)/(PI()*C$59*$C$168*C$36*10^-6))))</f>
        <v>0.78568805356637383</v>
      </c>
      <c r="D61" s="67">
        <f>IF(D$59&lt;D$60, 0, IF(D$47=1, IF(D$59&lt;2*D$60, (D$59 / D$60)*0.5*$C$203, 10), IF(D$47=0, IF(D$59&lt;2*D$60, (D$59 / D$60)*$C$202-$C$202/2, 10), 10)))+(-20*LOG10(ABS(SIN(PI()*D$59*$C$168*D$36*10^-6)/(PI()*D$59*$C$168*D$36*10^-6))))</f>
        <v>4.7392231192217846E-5</v>
      </c>
    </row>
    <row r="62" spans="1:19" x14ac:dyDescent="0.2">
      <c r="A62" s="92"/>
      <c r="B62" s="71" t="str">
        <f>'Parameters List'!B62</f>
        <v>Max Acceleration (m/s2)</v>
      </c>
      <c r="C62" s="64">
        <v>0</v>
      </c>
      <c r="D62" s="64">
        <v>0</v>
      </c>
    </row>
    <row r="63" spans="1:19" x14ac:dyDescent="0.2">
      <c r="A63" s="91"/>
      <c r="B63" s="68" t="str">
        <f>'Parameters List'!B63</f>
        <v>Loss Acceleration (m/s2)</v>
      </c>
      <c r="C63" s="67">
        <f>C$65*1000/C$30*$C$196</f>
        <v>0.8953662896405602</v>
      </c>
      <c r="D63" s="67">
        <f>D$65*1000/D$30*$C$196</f>
        <v>1751.6037360562316</v>
      </c>
      <c r="F63" s="43"/>
      <c r="G63" s="43"/>
      <c r="H63" s="43"/>
      <c r="I63" s="43"/>
      <c r="J63" s="43"/>
      <c r="K63" s="43"/>
      <c r="L63" s="43"/>
      <c r="M63" s="43"/>
      <c r="N63" s="43"/>
      <c r="O63" s="43"/>
      <c r="P63" s="43"/>
      <c r="Q63" s="43"/>
      <c r="R63" s="43"/>
      <c r="S63" s="43"/>
    </row>
    <row r="64" spans="1:19" x14ac:dyDescent="0.2">
      <c r="A64" s="92"/>
      <c r="B64" s="68" t="str">
        <f>'Parameters List'!B64</f>
        <v>Acceleration Loss (dB)</v>
      </c>
      <c r="C64" s="67">
        <f>IF( C$62 &gt;= C$63, C$62 / C$63 * $C$198, 0)</f>
        <v>0</v>
      </c>
      <c r="D64" s="67">
        <f>IF( D$62 &gt;= D$63, D$62 / D$63 * $C$198, 0)</f>
        <v>0</v>
      </c>
    </row>
    <row r="65" spans="1:19" x14ac:dyDescent="0.2">
      <c r="A65" s="91" t="s">
        <v>81</v>
      </c>
      <c r="B65" s="80" t="str">
        <f>'Parameters List'!B65</f>
        <v>fft2doppler (m/s per FFT bin)</v>
      </c>
      <c r="C65" s="70">
        <f>$C$106*1000/C$49/C$52/$C$168</f>
        <v>0.14206428196119225</v>
      </c>
      <c r="D65" s="70">
        <f>$C$106*1000/D$49/D$52/$C$168</f>
        <v>4.546057022758152</v>
      </c>
      <c r="F65" s="43"/>
      <c r="G65" s="43"/>
      <c r="H65" s="43"/>
      <c r="I65" s="43"/>
      <c r="J65" s="43"/>
      <c r="K65" s="43"/>
      <c r="L65" s="43"/>
      <c r="M65" s="43"/>
      <c r="N65" s="43"/>
      <c r="O65" s="43"/>
      <c r="P65" s="43"/>
      <c r="Q65" s="43"/>
      <c r="R65" s="43"/>
      <c r="S65" s="43"/>
    </row>
    <row r="66" spans="1:19" x14ac:dyDescent="0.2">
      <c r="A66" s="91"/>
      <c r="B66" s="80" t="str">
        <f>'Parameters List'!B66</f>
        <v>Optimal Peak2Peak Seperation (m/s)</v>
      </c>
      <c r="C66" s="70">
        <f>(C$67+C$68+(C$67+1))*C$65</f>
        <v>2.9833499211850372</v>
      </c>
      <c r="D66" s="70">
        <f>(D$67+D$68+(D$67+1))*D$65</f>
        <v>186.38833793308424</v>
      </c>
      <c r="F66" s="43"/>
      <c r="G66" s="43"/>
      <c r="H66" s="43"/>
      <c r="I66" s="43"/>
      <c r="J66" s="43"/>
      <c r="K66" s="43"/>
      <c r="L66" s="43"/>
      <c r="M66" s="43"/>
      <c r="N66" s="43"/>
      <c r="O66" s="43"/>
      <c r="P66" s="43"/>
      <c r="Q66" s="43"/>
      <c r="R66" s="43"/>
      <c r="S66" s="43"/>
    </row>
    <row r="67" spans="1:19" x14ac:dyDescent="0.2">
      <c r="A67" s="91"/>
      <c r="B67" s="95" t="str">
        <f>'Parameters List'!B67</f>
        <v># FFT bins of peak spreading (one side)</v>
      </c>
      <c r="C67" s="67">
        <f>ROUND((($C$200-1) / 2) * (C$52 / C$51) + (C$62*C$30/1000)/C$65,0)</f>
        <v>4</v>
      </c>
      <c r="D67" s="67">
        <f>ROUND((($C$200-1) / 2) * (D$52 / D$51) + (D$62*D$30/1000)/D$65,0)</f>
        <v>8</v>
      </c>
      <c r="F67" s="43"/>
      <c r="G67" s="43"/>
      <c r="H67" s="43"/>
      <c r="I67" s="43"/>
      <c r="J67" s="43"/>
      <c r="K67" s="43"/>
      <c r="L67" s="43"/>
      <c r="M67" s="43"/>
      <c r="N67" s="43"/>
      <c r="O67" s="43"/>
      <c r="P67" s="43"/>
      <c r="Q67" s="43"/>
      <c r="R67" s="43"/>
      <c r="S67" s="43"/>
    </row>
    <row r="68" spans="1:19" x14ac:dyDescent="0.2">
      <c r="A68" s="91"/>
      <c r="B68" s="95" t="str">
        <f>'Parameters List'!B68</f>
        <v># FFT bins for noise estimation (one side)</v>
      </c>
      <c r="C68" s="67">
        <f>ROUND((($C$201-1)/2*$C$197/$C$199)*(C$52/C$51),0)</f>
        <v>12</v>
      </c>
      <c r="D68" s="67">
        <f>ROUND((($C$201-1)/2*$C$197/$C$199)*(D$52/D$51),0)</f>
        <v>24</v>
      </c>
      <c r="F68" s="43"/>
      <c r="G68" s="43"/>
      <c r="H68" s="43"/>
      <c r="I68" s="43"/>
      <c r="J68" s="43"/>
      <c r="K68" s="43"/>
      <c r="L68" s="43"/>
      <c r="M68" s="43"/>
      <c r="N68" s="43"/>
      <c r="O68" s="43"/>
      <c r="P68" s="43"/>
      <c r="Q68" s="43"/>
      <c r="R68" s="43"/>
      <c r="S68" s="43"/>
    </row>
    <row r="69" spans="1:19" x14ac:dyDescent="0.2">
      <c r="A69" s="91"/>
      <c r="B69" s="95" t="str">
        <f>'Parameters List'!B69</f>
        <v># FFT bins of clutter margin (one side)</v>
      </c>
      <c r="C69" s="67">
        <f>C$57/C$65</f>
        <v>9.2756480000000003</v>
      </c>
      <c r="D69" s="67">
        <f>D$57/D$65</f>
        <v>8.1648639999999997</v>
      </c>
      <c r="F69" s="43"/>
      <c r="G69" s="43"/>
      <c r="H69" s="43"/>
      <c r="I69" s="43"/>
      <c r="J69" s="43"/>
      <c r="K69" s="43"/>
      <c r="L69" s="43"/>
      <c r="M69" s="43"/>
      <c r="N69" s="43"/>
      <c r="O69" s="43"/>
      <c r="P69" s="43"/>
      <c r="Q69" s="43"/>
      <c r="R69" s="43"/>
      <c r="S69" s="43"/>
    </row>
    <row r="70" spans="1:19" x14ac:dyDescent="0.2">
      <c r="A70" s="91"/>
      <c r="B70" s="95" t="str">
        <f>'Parameters List'!B70</f>
        <v># FFT bins to min velocity</v>
      </c>
      <c r="C70" s="67">
        <f>FLOOR(C$58/C$65,1)</f>
        <v>0</v>
      </c>
      <c r="D70" s="67">
        <f>FLOOR(D$58/D$65,1)</f>
        <v>0</v>
      </c>
      <c r="F70" s="43"/>
      <c r="G70" s="43"/>
      <c r="H70" s="43"/>
      <c r="I70" s="43"/>
      <c r="J70" s="43"/>
      <c r="K70" s="43"/>
      <c r="L70" s="43"/>
      <c r="M70" s="43"/>
      <c r="N70" s="43"/>
      <c r="O70" s="43"/>
      <c r="P70" s="43"/>
      <c r="Q70" s="43"/>
      <c r="R70" s="43"/>
      <c r="S70" s="43"/>
    </row>
    <row r="71" spans="1:19" x14ac:dyDescent="0.2">
      <c r="A71" s="91"/>
      <c r="B71" s="95" t="str">
        <f>'Parameters List'!B71</f>
        <v># FFT bins to max velocity</v>
      </c>
      <c r="C71" s="67">
        <f>CEILING(C$59/C$65,1)</f>
        <v>1760</v>
      </c>
      <c r="D71" s="67">
        <f>CEILING(D$59/D$65,1)</f>
        <v>5</v>
      </c>
      <c r="F71" s="43"/>
      <c r="G71" s="43"/>
      <c r="H71" s="43"/>
      <c r="I71" s="43"/>
      <c r="J71" s="43"/>
      <c r="K71" s="43"/>
      <c r="L71" s="43"/>
      <c r="M71" s="43"/>
      <c r="N71" s="43"/>
      <c r="O71" s="43"/>
      <c r="P71" s="43"/>
      <c r="Q71" s="43"/>
      <c r="R71" s="43"/>
      <c r="S71" s="43"/>
    </row>
    <row r="72" spans="1:19" x14ac:dyDescent="0.2">
      <c r="A72" s="91" t="s">
        <v>81</v>
      </c>
      <c r="B72" s="95" t="str">
        <f>'Parameters List'!B72</f>
        <v>Noise Mask (example: '-13,-4,4,13)</v>
      </c>
      <c r="C72" s="67" t="str">
        <f>CONCATENATE(TEXT(-C$68-C$67,"0"),",",TEXT(-C$67-1,"0"),",",TEXT(C$67+1,"0"),",",TEXT(C$68+C$67,"0"))</f>
        <v>-16,-5,5,16</v>
      </c>
      <c r="D72" s="67" t="str">
        <f>CONCATENATE(TEXT(-D$68-D$67,"0"),",",TEXT(-D$67-1,"0"),",",TEXT(D$67+1,"0"),",",TEXT(D$68+D$67,"0"))</f>
        <v>-32,-9,9,32</v>
      </c>
      <c r="F72" s="43"/>
      <c r="G72" s="43"/>
      <c r="H72" s="43"/>
      <c r="I72" s="43"/>
      <c r="J72" s="43"/>
      <c r="K72" s="43"/>
      <c r="L72" s="43"/>
      <c r="M72" s="43"/>
      <c r="N72" s="43"/>
      <c r="O72" s="43"/>
      <c r="P72" s="43"/>
      <c r="Q72" s="43"/>
      <c r="R72" s="43"/>
      <c r="S72" s="43"/>
    </row>
    <row r="73" spans="1:19" x14ac:dyDescent="0.2">
      <c r="A73" s="91" t="s">
        <v>81</v>
      </c>
      <c r="B73" s="94" t="str">
        <f>'Parameters List'!B73</f>
        <v>Options (see Options List sheet)</v>
      </c>
      <c r="C73" s="101" t="s">
        <v>501</v>
      </c>
      <c r="D73" s="101" t="s">
        <v>86</v>
      </c>
      <c r="F73" s="43"/>
      <c r="G73" s="43"/>
      <c r="H73" s="43"/>
      <c r="I73" s="43"/>
      <c r="J73" s="43"/>
      <c r="K73" s="43"/>
      <c r="L73" s="43"/>
      <c r="M73" s="43"/>
      <c r="N73" s="43"/>
      <c r="O73" s="43"/>
      <c r="P73" s="43"/>
      <c r="Q73" s="43"/>
      <c r="R73" s="43"/>
      <c r="S73" s="43"/>
    </row>
    <row r="74" spans="1:19" x14ac:dyDescent="0.2">
      <c r="A74" s="91" t="s">
        <v>81</v>
      </c>
      <c r="B74" s="94" t="str">
        <f>'Parameters List'!B74</f>
        <v>SNR Threshold (dB)</v>
      </c>
      <c r="C74" s="73">
        <v>10</v>
      </c>
      <c r="D74" s="73">
        <v>14</v>
      </c>
      <c r="F74" s="43"/>
      <c r="G74" s="43"/>
      <c r="H74" s="43"/>
      <c r="I74" s="43"/>
      <c r="J74" s="43"/>
      <c r="K74" s="43"/>
      <c r="L74" s="43"/>
      <c r="M74" s="43"/>
      <c r="N74" s="43"/>
      <c r="O74" s="43"/>
      <c r="P74" s="43"/>
      <c r="Q74" s="43"/>
      <c r="R74" s="43"/>
      <c r="S74" s="43"/>
    </row>
    <row r="75" spans="1:19" x14ac:dyDescent="0.2">
      <c r="A75" s="91"/>
      <c r="B75" s="80" t="str">
        <f>'Parameters List'!B75</f>
        <v>Probability of False Alarm</v>
      </c>
      <c r="C75" s="70">
        <f>pf_PD_PFA_CFAR("pfa", C$74, C$120, C$121, C$68*2, 1)</f>
        <v>2.3419401494640269E-4</v>
      </c>
      <c r="D75" s="70">
        <f>pf_PD_PFA_CFAR("pfa", D$74, D$120, D$121, D$68*2, 1)</f>
        <v>1.6833189154567786E-9</v>
      </c>
      <c r="F75" s="43"/>
      <c r="G75" s="43"/>
      <c r="H75" s="43"/>
      <c r="I75" s="43"/>
      <c r="J75" s="43"/>
      <c r="K75" s="43"/>
      <c r="L75" s="43"/>
      <c r="M75" s="43"/>
      <c r="N75" s="43"/>
      <c r="O75" s="43"/>
      <c r="P75" s="43"/>
      <c r="Q75" s="43"/>
      <c r="R75" s="43"/>
      <c r="S75" s="43"/>
    </row>
    <row r="76" spans="1:19" x14ac:dyDescent="0.2">
      <c r="A76" s="91"/>
      <c r="B76" s="80" t="str">
        <f>'Parameters List'!B76</f>
        <v>Probability of False Alarm per CPI</v>
      </c>
      <c r="C76" s="70">
        <f>C$75*C$52*C$53</f>
        <v>15.348138963527447</v>
      </c>
      <c r="D76" s="70">
        <f>D$75*D$52*D$53</f>
        <v>0</v>
      </c>
      <c r="F76" s="43"/>
      <c r="G76" s="43"/>
      <c r="H76" s="43"/>
      <c r="I76" s="43"/>
      <c r="J76" s="43"/>
      <c r="K76" s="43"/>
      <c r="L76" s="43"/>
      <c r="M76" s="43"/>
      <c r="N76" s="43"/>
      <c r="O76" s="43"/>
      <c r="P76" s="43"/>
      <c r="Q76" s="43"/>
      <c r="R76" s="43"/>
      <c r="S76" s="43"/>
    </row>
    <row r="77" spans="1:19" x14ac:dyDescent="0.2">
      <c r="A77" s="91"/>
      <c r="B77" s="80" t="str">
        <f>'Parameters List'!B77</f>
        <v>Probability of False Alarm per SEC</v>
      </c>
      <c r="C77" s="70">
        <f>C$76/(C$30/1000)</f>
        <v>50.911742379652758</v>
      </c>
      <c r="D77" s="70">
        <f>D$76/(D$30/1000)</f>
        <v>0</v>
      </c>
      <c r="F77" s="43"/>
      <c r="G77" s="43"/>
      <c r="H77" s="43"/>
      <c r="I77" s="43"/>
      <c r="J77" s="43"/>
      <c r="K77" s="43"/>
      <c r="L77" s="43"/>
      <c r="M77" s="43"/>
      <c r="N77" s="43"/>
      <c r="O77" s="43"/>
      <c r="P77" s="43"/>
      <c r="Q77" s="43"/>
      <c r="R77" s="43"/>
      <c r="S77" s="43"/>
    </row>
    <row r="78" spans="1:19" x14ac:dyDescent="0.2">
      <c r="A78" s="91"/>
      <c r="B78" s="94" t="str">
        <f>'Parameters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'Parameters List'!B79</f>
        <v>STC Init Range (m)</v>
      </c>
      <c r="C79" s="70">
        <f>10^((40*LOG10(C$44)-(C$78-C$99)) / 40)</f>
        <v>1305.5571299490189</v>
      </c>
      <c r="D79" s="70">
        <f>10^((40*LOG10(D$44)-(D$78-D$99)) / 40)</f>
        <v>1974.3845605588683</v>
      </c>
      <c r="F79" s="43"/>
      <c r="G79" s="43"/>
      <c r="H79" s="43"/>
      <c r="I79" s="43"/>
      <c r="J79" s="43"/>
      <c r="K79" s="43"/>
      <c r="L79" s="43"/>
      <c r="M79" s="43"/>
      <c r="N79" s="43"/>
      <c r="O79" s="43"/>
      <c r="P79" s="43"/>
      <c r="Q79" s="43"/>
      <c r="R79" s="43"/>
      <c r="S79" s="43"/>
    </row>
    <row r="80" spans="1:19" x14ac:dyDescent="0.2">
      <c r="A80" s="91"/>
      <c r="B80" s="94" t="str">
        <f>'Parameters List'!B80</f>
        <v>Tapered Array (0/1)</v>
      </c>
      <c r="C80" s="101">
        <v>0</v>
      </c>
      <c r="D80" s="101">
        <v>0</v>
      </c>
      <c r="F80" s="43"/>
      <c r="G80" s="43"/>
      <c r="H80" s="43"/>
      <c r="I80" s="43"/>
      <c r="J80" s="43"/>
      <c r="K80" s="43"/>
      <c r="L80" s="43"/>
      <c r="M80" s="43"/>
      <c r="N80" s="43"/>
      <c r="O80" s="43"/>
      <c r="P80" s="43"/>
      <c r="Q80" s="43"/>
      <c r="R80" s="43"/>
      <c r="S80" s="43"/>
    </row>
    <row r="81" spans="1:19" x14ac:dyDescent="0.2">
      <c r="A81" s="91"/>
      <c r="B81" s="94" t="str">
        <f>'Parameters List'!B81</f>
        <v>AGC Set (1-6)</v>
      </c>
      <c r="C81" s="101">
        <v>3</v>
      </c>
      <c r="D81" s="101">
        <v>1</v>
      </c>
      <c r="F81" s="43"/>
      <c r="G81" s="43"/>
      <c r="H81" s="43"/>
      <c r="I81" s="43"/>
      <c r="J81" s="43"/>
      <c r="K81" s="43"/>
      <c r="L81" s="43"/>
      <c r="M81" s="43"/>
      <c r="N81" s="43"/>
      <c r="O81" s="43"/>
      <c r="P81" s="43"/>
      <c r="Q81" s="43"/>
      <c r="R81" s="43"/>
      <c r="S81" s="43"/>
    </row>
    <row r="82" spans="1:19" x14ac:dyDescent="0.2">
      <c r="A82" s="91"/>
      <c r="B82" s="95" t="str">
        <f>'Parameters List'!B82</f>
        <v>RF AGC (dB) - 1st Rx</v>
      </c>
      <c r="C82" s="67">
        <f>VLOOKUP(C$81,'AGC Set Table'!$A$3:$K$9,2,FALSE)</f>
        <v>0</v>
      </c>
      <c r="D82" s="67">
        <f>VLOOKUP(D$81,'AGC Set Table'!$A$3:$K$9,2,FALSE)</f>
        <v>0</v>
      </c>
      <c r="F82" s="43"/>
      <c r="G82" s="43"/>
      <c r="H82" s="43"/>
      <c r="I82" s="43"/>
      <c r="J82" s="43"/>
      <c r="K82" s="43"/>
      <c r="L82" s="43"/>
      <c r="M82" s="43"/>
      <c r="N82" s="43"/>
      <c r="O82" s="43"/>
      <c r="P82" s="43"/>
      <c r="Q82" s="43"/>
      <c r="R82" s="43"/>
      <c r="S82" s="43"/>
    </row>
    <row r="83" spans="1:19" x14ac:dyDescent="0.2">
      <c r="A83" s="91"/>
      <c r="B83" s="95" t="str">
        <f>'Parameters List'!B83</f>
        <v>IF AGC (dB) - 1st Rx</v>
      </c>
      <c r="C83" s="67">
        <f>VLOOKUP(C$81,'AGC Set Table'!$A$3:$K$9,3,FALSE)</f>
        <v>25</v>
      </c>
      <c r="D83" s="67">
        <f>VLOOKUP(D$81,'AGC Set Table'!$A$3:$K$9,3,FALSE)</f>
        <v>15</v>
      </c>
      <c r="F83" s="43"/>
      <c r="G83" s="43"/>
      <c r="H83" s="43"/>
      <c r="I83" s="43"/>
      <c r="J83" s="43"/>
      <c r="K83" s="43"/>
      <c r="L83" s="43"/>
      <c r="M83" s="43"/>
      <c r="N83" s="43"/>
      <c r="O83" s="43"/>
      <c r="P83" s="43"/>
      <c r="Q83" s="43"/>
      <c r="R83" s="43"/>
      <c r="S83" s="43"/>
    </row>
    <row r="84" spans="1:19" x14ac:dyDescent="0.2">
      <c r="A84" s="91"/>
      <c r="B84" s="95" t="str">
        <f>'Parameters List'!B84</f>
        <v>RF AGC (dB) - Ref Rx</v>
      </c>
      <c r="C84" s="67">
        <f>VLOOKUP(C$81,'AGC Set Table'!$A$3:$K$9,8,FALSE)</f>
        <v>0</v>
      </c>
      <c r="D84" s="67">
        <f>VLOOKUP(D$81,'AGC Set Table'!$A$3:$K$9,8,FALSE)</f>
        <v>0</v>
      </c>
      <c r="F84" s="43"/>
      <c r="G84" s="43"/>
      <c r="H84" s="43"/>
      <c r="I84" s="43"/>
      <c r="J84" s="43"/>
      <c r="K84" s="43"/>
      <c r="L84" s="43"/>
      <c r="M84" s="43"/>
      <c r="N84" s="43"/>
      <c r="O84" s="43"/>
      <c r="P84" s="43"/>
      <c r="Q84" s="43"/>
      <c r="R84" s="43"/>
      <c r="S84" s="43"/>
    </row>
    <row r="85" spans="1:19" x14ac:dyDescent="0.2">
      <c r="A85" s="91"/>
      <c r="B85" s="95" t="str">
        <f>'Parameters List'!B85</f>
        <v>IF AGC (dB) - Ref Rx</v>
      </c>
      <c r="C85" s="67">
        <f>VLOOKUP(C$81,'AGC Set Table'!$A$3:$K$9,9,FALSE)</f>
        <v>5</v>
      </c>
      <c r="D85" s="67">
        <f>VLOOKUP(D$81,'AGC Set Table'!$A$3:$K$9,9,FALSE)</f>
        <v>5</v>
      </c>
      <c r="F85" s="43"/>
      <c r="G85" s="43"/>
      <c r="H85" s="43"/>
      <c r="I85" s="43"/>
      <c r="J85" s="43"/>
      <c r="K85" s="43"/>
      <c r="L85" s="43"/>
      <c r="M85" s="43"/>
      <c r="N85" s="43"/>
      <c r="O85" s="43"/>
      <c r="P85" s="43"/>
      <c r="Q85" s="43"/>
      <c r="R85" s="43"/>
      <c r="S85" s="43"/>
    </row>
    <row r="86" spans="1:19" x14ac:dyDescent="0.2">
      <c r="A86" s="91"/>
      <c r="B86" s="95" t="str">
        <f>'Parameters List'!B86</f>
        <v>NF @ADCout (dB) - 1st Rx</v>
      </c>
      <c r="C86" s="67">
        <f>VLOOKUP(C$81,'AGC Set Table'!$A$3:$K$9,IF(C$80=0,6,IF(C$80=1,7)),FALSE)</f>
        <v>4.1399999999999997</v>
      </c>
      <c r="D86" s="67">
        <f>VLOOKUP(D$81,'AGC Set Table'!$A$3:$K$9,IF(D$80=0,6,IF(D$80=1,7)),FALSE)</f>
        <v>2.75</v>
      </c>
      <c r="F86" s="43"/>
      <c r="G86" s="43"/>
      <c r="H86" s="43"/>
      <c r="I86" s="43"/>
      <c r="J86" s="43"/>
      <c r="K86" s="43"/>
      <c r="L86" s="43"/>
      <c r="M86" s="43"/>
      <c r="N86" s="43"/>
      <c r="O86" s="43"/>
      <c r="P86" s="43"/>
      <c r="Q86" s="43"/>
      <c r="R86" s="43"/>
      <c r="S86" s="43"/>
    </row>
    <row r="87" spans="1:19" x14ac:dyDescent="0.2">
      <c r="A87" s="91"/>
      <c r="B87" s="95" t="str">
        <f>'Parameters List'!B87</f>
        <v>NF @ADCout (dB) - Ref Rx</v>
      </c>
      <c r="C87" s="67">
        <f>VLOOKUP(C$81,'AGC Set Table'!$A$3:$K$9,11,FALSE)</f>
        <v>2.5299999999999998</v>
      </c>
      <c r="D87" s="67">
        <f>VLOOKUP(D$81,'AGC Set Table'!$A$3:$K$9,11,FALSE)</f>
        <v>2.5299999999999998</v>
      </c>
      <c r="F87" s="43"/>
      <c r="G87" s="43"/>
      <c r="H87" s="43"/>
      <c r="I87" s="43"/>
      <c r="J87" s="43"/>
      <c r="K87" s="43"/>
      <c r="L87" s="43"/>
      <c r="M87" s="43"/>
      <c r="N87" s="43"/>
      <c r="O87" s="43"/>
      <c r="P87" s="43"/>
      <c r="Q87" s="43"/>
      <c r="R87" s="43"/>
      <c r="S87" s="43"/>
    </row>
    <row r="88" spans="1:19" x14ac:dyDescent="0.2">
      <c r="A88" s="91" t="s">
        <v>81</v>
      </c>
      <c r="B88" s="94" t="str">
        <f>'Parameters List'!B88</f>
        <v>RCS (m^2)</v>
      </c>
      <c r="C88" s="74">
        <v>5.0000000000000001E-3</v>
      </c>
      <c r="D88" s="74">
        <v>0.1</v>
      </c>
      <c r="F88" s="43"/>
      <c r="G88" s="43"/>
      <c r="H88" s="43"/>
      <c r="I88" s="43"/>
      <c r="J88" s="43"/>
      <c r="K88" s="43"/>
      <c r="L88" s="43"/>
      <c r="M88" s="43"/>
      <c r="N88" s="43"/>
      <c r="O88" s="43"/>
      <c r="P88" s="43"/>
      <c r="Q88" s="43"/>
      <c r="R88" s="43"/>
      <c r="S88" s="43"/>
    </row>
    <row r="89" spans="1:19" x14ac:dyDescent="0.2">
      <c r="A89" s="91"/>
      <c r="B89" s="95" t="str">
        <f>'Parameters List'!B89</f>
        <v>σ(dB/m2)</v>
      </c>
      <c r="C89" s="67">
        <f>10*LOG10(C$88)</f>
        <v>-23.010299956639813</v>
      </c>
      <c r="D89" s="67">
        <f>10*LOG10(D$88)</f>
        <v>-10</v>
      </c>
      <c r="F89" s="43"/>
      <c r="G89" s="43"/>
      <c r="H89" s="43"/>
      <c r="I89" s="43"/>
      <c r="J89" s="43"/>
      <c r="K89" s="43"/>
      <c r="L89" s="43"/>
      <c r="M89" s="43"/>
      <c r="N89" s="43"/>
      <c r="O89" s="43"/>
      <c r="P89" s="43"/>
      <c r="Q89" s="43"/>
      <c r="R89" s="43"/>
      <c r="S89" s="43"/>
    </row>
    <row r="90" spans="1:19" x14ac:dyDescent="0.2">
      <c r="A90" s="91"/>
      <c r="B90" s="80" t="str">
        <f>'Parameters List'!B90</f>
        <v>Tgt min range @ADCin (dBm) - Ref. Rx</v>
      </c>
      <c r="C90" s="70">
        <f>$C$185+$C$186+$C$188+C$89+$C$189-$C$190-40*LOG10(C$43)+$C$171-C$84-C$85-$C$179*(C$80=1)</f>
        <v>-24.237552158978019</v>
      </c>
      <c r="D90" s="70">
        <f>$C$185+$C$186+$C$188+D$89+$C$189-$C$190-40*LOG10(D$43)+$C$171-D$84-D$85-$C$179*(D$80=1)</f>
        <v>-43.739778186332956</v>
      </c>
      <c r="F90" s="43"/>
      <c r="G90" s="43"/>
      <c r="H90" s="43"/>
      <c r="I90" s="43"/>
      <c r="J90" s="43"/>
      <c r="K90" s="43"/>
      <c r="L90" s="43"/>
      <c r="M90" s="43"/>
      <c r="N90" s="43"/>
      <c r="O90" s="43"/>
      <c r="P90" s="43"/>
      <c r="Q90" s="43"/>
      <c r="R90" s="43"/>
      <c r="S90" s="43"/>
    </row>
    <row r="91" spans="1:19" x14ac:dyDescent="0.2">
      <c r="A91" s="91"/>
      <c r="B91" s="80" t="str">
        <f>'Parameters List'!B91</f>
        <v>Tgt max range @ADCin (dBm) - Ref. Rx</v>
      </c>
      <c r="C91" s="70">
        <f>$C$185+$C$186+$C$188+C$89+$C$189-$C$190-40*LOG10(C$44)+$C$171-C$84-C$85-$C$179*(C$80=1)</f>
        <v>-55.36026200378663</v>
      </c>
      <c r="D91" s="70">
        <f>$C$185+$C$186+$C$188+D$89+$C$189-$C$190-40*LOG10(D$44)+$C$171-D$84-D$85-$C$179*(D$80=1)</f>
        <v>-59.922601689174996</v>
      </c>
      <c r="F91" s="43"/>
      <c r="G91" s="43"/>
      <c r="H91" s="43"/>
      <c r="I91" s="43"/>
      <c r="J91" s="43"/>
      <c r="K91" s="43"/>
      <c r="L91" s="43"/>
      <c r="M91" s="43"/>
      <c r="N91" s="43"/>
      <c r="O91" s="43"/>
      <c r="P91" s="43"/>
      <c r="Q91" s="43"/>
      <c r="R91" s="43"/>
      <c r="S91" s="43"/>
    </row>
    <row r="92" spans="1:19" x14ac:dyDescent="0.2">
      <c r="A92" s="91"/>
      <c r="B92" s="95" t="str">
        <f>'Parameters List'!B92</f>
        <v>1st Rx Noise @ADCout (dBm/bin)</v>
      </c>
      <c r="C92" s="67">
        <f>C$86+$C$173+$C$171-C$84-C$85+10*LOG10($C$175*10^6)-$C$178*(C$80=1)+10*LOG10($C$156/$C$157)</f>
        <v>-34.839400086720389</v>
      </c>
      <c r="D92" s="67">
        <f>D$86+$C$173+$C$171-D$84-D$85+10*LOG10($C$175*10^6)-$C$178*(D$80=1)+10*LOG10($C$156/$C$157)</f>
        <v>-36.229400086720375</v>
      </c>
      <c r="F92" s="43"/>
      <c r="G92" s="43"/>
      <c r="H92" s="43"/>
      <c r="I92" s="43"/>
      <c r="J92" s="43"/>
      <c r="K92" s="43"/>
      <c r="L92" s="43"/>
      <c r="M92" s="43"/>
      <c r="N92" s="43"/>
      <c r="O92" s="43"/>
      <c r="P92" s="43"/>
      <c r="Q92" s="43"/>
      <c r="R92" s="43"/>
      <c r="S92" s="43"/>
    </row>
    <row r="93" spans="1:19" x14ac:dyDescent="0.2">
      <c r="A93" s="91"/>
      <c r="B93" s="95" t="str">
        <f>'Parameters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'Parameters List'!B94</f>
        <v>Total Noise @ADCout (dBm/bin)</v>
      </c>
      <c r="C94" s="67">
        <f>10*LOG10(10^((C$93 + 10*LOG10($C$157))/10) + 10^((C$92 + 10*LOG10(($C$182-$C$157) / $C$156))/10))+ (10*LOG10(C$34) - C$35) * (C$34&gt;1)</f>
        <v>-28.74449759340315</v>
      </c>
      <c r="D94" s="67">
        <f>10*LOG10(10^((D$93 + 10*LOG10($C$157))/10) + 10^((D$92 + 10*LOG10(($C$182-$C$157) / $C$156))/10))+ (10*LOG10(D$34) - D$35) * (D$34&gt;1)</f>
        <v>-30.106796884948185</v>
      </c>
      <c r="F94" s="43"/>
      <c r="G94" s="43"/>
      <c r="H94" s="43"/>
      <c r="I94" s="43"/>
      <c r="J94" s="43"/>
      <c r="K94" s="43"/>
      <c r="L94" s="43"/>
      <c r="M94" s="43"/>
      <c r="N94" s="43"/>
      <c r="O94" s="43"/>
      <c r="P94" s="43"/>
      <c r="Q94" s="43"/>
      <c r="R94" s="43"/>
      <c r="S94" s="43"/>
    </row>
    <row r="95" spans="1:19" x14ac:dyDescent="0.2">
      <c r="A95" s="91" t="s">
        <v>81</v>
      </c>
      <c r="B95" s="95" t="str">
        <f>'Parameters List'!B95</f>
        <v>Rx Processing Gain (dB)</v>
      </c>
      <c r="C95" s="67">
        <f>10*LOG10(C$46/2 * C$48 * C$51 * C$49) - $C$195</f>
        <v>57.155999132796246</v>
      </c>
      <c r="D95" s="67">
        <f>10*LOG10(D$46/2 * D$48 * D$51 * D$49) - $C$195</f>
        <v>49.183193837112135</v>
      </c>
      <c r="F95" s="43"/>
      <c r="G95" s="43"/>
      <c r="H95" s="43"/>
      <c r="I95" s="43"/>
      <c r="J95" s="43"/>
      <c r="K95" s="43"/>
      <c r="L95" s="43"/>
      <c r="M95" s="43"/>
      <c r="N95" s="43"/>
      <c r="O95" s="43"/>
      <c r="P95" s="43"/>
      <c r="Q95" s="43"/>
      <c r="R95" s="43"/>
      <c r="S95" s="43"/>
    </row>
    <row r="96" spans="1:19" x14ac:dyDescent="0.2">
      <c r="A96" s="91"/>
      <c r="B96" s="95" t="str">
        <f>'Parameters List'!B96</f>
        <v>Total Processing Gain (dB)</v>
      </c>
      <c r="C96" s="67">
        <f>C$95 + 20*LOG10($C$182) + (20*LOG10(C$34) - 2 * C$35) * (C$34&gt;1)-$C$179*(C$80=1)-$C$177*(C$80=1)</f>
        <v>89.411676267190956</v>
      </c>
      <c r="D96" s="67">
        <f>D$95 + 20*LOG10($C$182) + (20*LOG10(D$34) - 2 * D$35) * (D$34&gt;1)-$C$179*(D$80=1)-$C$177*(D$80=1)</f>
        <v>81.438870971506844</v>
      </c>
      <c r="F96" s="43"/>
      <c r="G96" s="43"/>
      <c r="H96" s="43"/>
      <c r="I96" s="43"/>
      <c r="J96" s="43"/>
      <c r="K96" s="43"/>
      <c r="L96" s="43"/>
      <c r="M96" s="43"/>
      <c r="N96" s="43"/>
      <c r="O96" s="43"/>
      <c r="P96" s="43"/>
      <c r="Q96" s="43"/>
      <c r="R96" s="43"/>
      <c r="S96" s="43"/>
    </row>
    <row r="97" spans="1:19" x14ac:dyDescent="0.2">
      <c r="A97" s="92"/>
      <c r="B97" s="95" t="str">
        <f>'Parameters List'!B97</f>
        <v>Total Loss (dB)</v>
      </c>
      <c r="C97" s="67">
        <f>$C$191 + ($C$202*(C$47=0)+$C$203*(C$47=1)+$C$198) + C$61 + C$64</f>
        <v>2.4484730535663739</v>
      </c>
      <c r="D97" s="67">
        <f>$C$191 + ($C$202*(D$47=0)+$C$203*(D$47=1)+$C$198) + D$61 + D$64</f>
        <v>1.6628323922311923</v>
      </c>
    </row>
    <row r="98" spans="1:19" x14ac:dyDescent="0.2">
      <c r="A98" s="91"/>
      <c r="B98" s="80" t="str">
        <f>'Parameters List'!B98</f>
        <v>SNR min range (dB)</v>
      </c>
      <c r="C98" s="70">
        <f>C$90+C$96-C$94-C$97</f>
        <v>91.470148648049715</v>
      </c>
      <c r="D98" s="70">
        <f>D$90+D$96-D$94-D$97</f>
        <v>66.143057277890875</v>
      </c>
      <c r="F98" s="43"/>
      <c r="G98" s="43"/>
      <c r="H98" s="43"/>
      <c r="I98" s="43"/>
      <c r="J98" s="43"/>
      <c r="K98" s="43"/>
      <c r="L98" s="43"/>
      <c r="M98" s="43"/>
      <c r="N98" s="43"/>
      <c r="O98" s="43"/>
      <c r="P98" s="43"/>
      <c r="Q98" s="43"/>
      <c r="R98" s="43"/>
      <c r="S98" s="43"/>
    </row>
    <row r="99" spans="1:19" x14ac:dyDescent="0.2">
      <c r="A99" s="91"/>
      <c r="B99" s="80" t="str">
        <f>'Parameters List'!B99</f>
        <v>SNR max range (dB)</v>
      </c>
      <c r="C99" s="70">
        <f>C$91+C$96-C$94-C$97</f>
        <v>60.347438803241104</v>
      </c>
      <c r="D99" s="70">
        <f>D$91+D$96-D$94-D$97</f>
        <v>49.960233775048835</v>
      </c>
      <c r="F99" s="43"/>
      <c r="G99" s="43"/>
      <c r="H99" s="43"/>
      <c r="I99" s="43"/>
      <c r="J99" s="43"/>
      <c r="K99" s="43"/>
      <c r="L99" s="43"/>
      <c r="M99" s="43"/>
      <c r="N99" s="43"/>
      <c r="O99" s="43"/>
      <c r="P99" s="43"/>
      <c r="Q99" s="43"/>
      <c r="R99" s="43"/>
      <c r="S99" s="43"/>
    </row>
    <row r="100" spans="1:19" x14ac:dyDescent="0.2">
      <c r="A100" s="91"/>
      <c r="B100" s="95" t="str">
        <f>'Parameters List'!B100</f>
        <v>Duty cycle per beam</v>
      </c>
      <c r="C100" s="67">
        <f>C$36/$C$104</f>
        <v>8.6956521739130446E-2</v>
      </c>
      <c r="D100" s="67">
        <f>D$36/$C$104</f>
        <v>0.84782608695652184</v>
      </c>
      <c r="F100" s="43"/>
      <c r="G100" s="43"/>
      <c r="H100" s="43"/>
      <c r="I100" s="43"/>
      <c r="J100" s="43"/>
      <c r="K100" s="43"/>
      <c r="L100" s="43"/>
      <c r="M100" s="43"/>
      <c r="N100" s="43"/>
      <c r="O100" s="43"/>
      <c r="P100" s="43"/>
      <c r="Q100" s="43"/>
      <c r="R100" s="43"/>
      <c r="S100" s="43"/>
    </row>
    <row r="101" spans="1:19" x14ac:dyDescent="0.2">
      <c r="A101" s="91"/>
      <c r="B101" s="95" t="str">
        <f>'Parameters List'!B101</f>
        <v>Buffer size (KB)</v>
      </c>
      <c r="C101" s="67">
        <f>MROUND((IF(C$21, $C$210*$C$155, C$54)*C$51*8+64)/1024,4)</f>
        <v>2400</v>
      </c>
      <c r="D101" s="67">
        <f>MROUND((IF(D$21, $C$210*$C$155, D$54)*D$51*8+64)/1024,4)</f>
        <v>0</v>
      </c>
      <c r="F101" s="43"/>
      <c r="G101" s="43"/>
      <c r="H101" s="43"/>
      <c r="I101" s="43"/>
      <c r="J101" s="43"/>
      <c r="K101" s="43"/>
      <c r="L101" s="43"/>
      <c r="M101" s="43"/>
      <c r="N101" s="43"/>
      <c r="O101" s="43"/>
      <c r="P101" s="43"/>
      <c r="Q101" s="43"/>
      <c r="R101" s="43"/>
      <c r="S101" s="43"/>
    </row>
    <row r="102" spans="1:19" x14ac:dyDescent="0.2">
      <c r="A102" s="91"/>
      <c r="B102" s="95" t="str">
        <f>'Parameters List'!B102</f>
        <v>PCIe Rate MB/s</v>
      </c>
      <c r="C102" s="67">
        <f>C$101*1024/C$30/1024</f>
        <v>7.9611073369565215</v>
      </c>
      <c r="D102" s="67">
        <f>D$101*1024/D$30/1024</f>
        <v>0</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'Parameters List'!B104</f>
        <v>Total PRI (μs)</v>
      </c>
      <c r="C104" s="77">
        <f>(SUMIF($E$13:$AJ$13,"=1",$E$18:$AJ$18)*C$46+SUMIF($E$13:$AJ$13,"=2",$E$18:$AJ$18)*D$46)*$C$174+$C$208+COUNTIFS(E$13:AJ$13,"=1",E$15:AJ$15,"=1") * C$32 + COUNTIFS(E$13:AJ$13,"=1",E$15:AJ$15,"=2") * C$33 + COUNTIFS(E$13:AJ$13,"=2",E$15:AJ$15,"=1") * D$32 + COUNTIFS(E$13:AJ$13,"=2",E$15:AJ$15,"=2") * D$33</f>
        <v>4.5999999999999996</v>
      </c>
      <c r="F104" s="43"/>
      <c r="G104" s="43"/>
      <c r="H104" s="43"/>
      <c r="I104" s="43"/>
      <c r="J104" s="43"/>
      <c r="K104" s="43"/>
      <c r="L104" s="43"/>
      <c r="M104" s="43"/>
      <c r="N104" s="43"/>
      <c r="O104" s="43"/>
      <c r="P104" s="43"/>
      <c r="Q104" s="43"/>
      <c r="R104" s="43"/>
      <c r="S104" s="43"/>
    </row>
    <row r="105" spans="1:19" x14ac:dyDescent="0.2">
      <c r="B105" s="76" t="str">
        <f>'Parameters List'!B105</f>
        <v>Unambiguous Range (km)</v>
      </c>
      <c r="C105" s="77">
        <f>$C$104*$C$163/1000</f>
        <v>0.68952265339999996</v>
      </c>
      <c r="F105" s="43"/>
      <c r="G105" s="43"/>
      <c r="H105" s="43"/>
      <c r="I105" s="43"/>
      <c r="J105" s="43"/>
      <c r="K105" s="43"/>
      <c r="L105" s="43"/>
      <c r="M105" s="43"/>
      <c r="N105" s="43"/>
      <c r="O105" s="43"/>
      <c r="P105" s="43"/>
      <c r="Q105" s="43"/>
      <c r="R105" s="43"/>
      <c r="S105" s="43"/>
    </row>
    <row r="106" spans="1:19" x14ac:dyDescent="0.2">
      <c r="B106" s="76" t="str">
        <f>'Parameters List'!B106</f>
        <v>Total PRF (kHz)</v>
      </c>
      <c r="C106" s="77">
        <f>1000/$C$104</f>
        <v>217.39130434782609</v>
      </c>
      <c r="F106" s="43"/>
      <c r="G106" s="43"/>
      <c r="H106" s="43"/>
      <c r="I106" s="43"/>
      <c r="J106" s="43"/>
      <c r="K106" s="43"/>
      <c r="L106" s="43"/>
      <c r="M106" s="43"/>
      <c r="N106" s="43"/>
      <c r="O106" s="43"/>
      <c r="P106" s="43"/>
      <c r="Q106" s="43"/>
      <c r="R106" s="43"/>
      <c r="S106" s="43"/>
    </row>
    <row r="107" spans="1:19" x14ac:dyDescent="0.2">
      <c r="B107" s="76" t="str">
        <f>'Parameters List'!B107</f>
        <v>Folding (Blind) Velocity (m/s)</v>
      </c>
      <c r="C107" s="77">
        <f>1000*$C$106/$C$168</f>
        <v>9310.3247826086954</v>
      </c>
      <c r="F107" s="43"/>
      <c r="G107" s="43"/>
      <c r="H107" s="43"/>
      <c r="I107" s="43"/>
      <c r="J107" s="43"/>
      <c r="K107" s="43"/>
      <c r="L107" s="43"/>
      <c r="M107" s="43"/>
      <c r="N107" s="43"/>
      <c r="O107" s="43"/>
      <c r="P107" s="43"/>
      <c r="Q107" s="43"/>
      <c r="R107" s="43"/>
      <c r="S107" s="43"/>
    </row>
    <row r="108" spans="1:19" x14ac:dyDescent="0.2">
      <c r="B108" s="76" t="str">
        <f>'Parameters List'!B108</f>
        <v>Max Trk Vr STD for Res Vel Amb (m/s)</v>
      </c>
      <c r="C108" s="77">
        <f>$C$107/4</f>
        <v>2327.5811956521738</v>
      </c>
      <c r="F108" s="43"/>
      <c r="G108" s="43"/>
      <c r="H108" s="43"/>
      <c r="I108" s="43"/>
      <c r="J108" s="43"/>
      <c r="K108" s="43"/>
      <c r="L108" s="43"/>
      <c r="M108" s="43"/>
      <c r="N108" s="43"/>
      <c r="O108" s="43"/>
      <c r="P108" s="43"/>
      <c r="Q108" s="43"/>
      <c r="R108" s="43"/>
      <c r="S108" s="43"/>
    </row>
    <row r="109" spans="1:19" x14ac:dyDescent="0.2">
      <c r="B109" s="76" t="str">
        <f>'Parameters List'!B109</f>
        <v>Antenna 1 PA Duty cycle</v>
      </c>
      <c r="C109" s="77">
        <f>C$100*IF(C$27&gt;0,C$27,C$26)+D$100*IF(D$27&gt;0,D$27,D$26)</f>
        <v>8.6956521739130446E-2</v>
      </c>
      <c r="F109" s="43"/>
      <c r="G109" s="43"/>
      <c r="H109" s="43"/>
      <c r="I109" s="43"/>
      <c r="J109" s="43"/>
      <c r="K109" s="43"/>
      <c r="L109" s="43"/>
      <c r="M109" s="43"/>
      <c r="N109" s="43"/>
      <c r="O109" s="43"/>
      <c r="P109" s="43"/>
      <c r="Q109" s="43"/>
      <c r="R109" s="43"/>
      <c r="S109" s="43"/>
    </row>
    <row r="110" spans="1:19" x14ac:dyDescent="0.2">
      <c r="B110" s="76" t="str">
        <f>'Parameters List'!B110</f>
        <v>Antenna 2 PA Duty cycle</v>
      </c>
      <c r="C110" s="77">
        <f>C$100*IF(C$28&gt;0,C$28,C$26)+D$100*IF(D$28&gt;0,D$28,D$26)</f>
        <v>8.6956521739130446E-2</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'Parameters List'!B112</f>
        <v>Tgt RCS (m^2):</v>
      </c>
      <c r="C112" s="74">
        <v>100</v>
      </c>
      <c r="D112" s="74">
        <v>0.1</v>
      </c>
      <c r="F112" s="43"/>
      <c r="G112" s="43"/>
      <c r="H112" s="43"/>
      <c r="I112" s="43"/>
      <c r="J112" s="43"/>
      <c r="K112" s="43"/>
      <c r="L112" s="43"/>
      <c r="M112" s="43"/>
      <c r="N112" s="43"/>
      <c r="O112" s="43"/>
      <c r="P112" s="43"/>
      <c r="Q112" s="43"/>
      <c r="R112" s="43"/>
      <c r="S112" s="43"/>
    </row>
    <row r="113" spans="2:19" x14ac:dyDescent="0.2">
      <c r="B113" s="78" t="str">
        <f>'Parameters List'!B113</f>
        <v>SNR @ Range (m):</v>
      </c>
      <c r="C113" s="74">
        <v>50000</v>
      </c>
      <c r="D113" s="74">
        <f>$C$163*D$36 + D$41</f>
        <v>584.59529310000005</v>
      </c>
    </row>
    <row r="114" spans="2:19" x14ac:dyDescent="0.2">
      <c r="B114" s="79" t="str">
        <f>'Parameters List'!B114</f>
        <v>Tgt @ADCin (dBm) - Ref. Rx</v>
      </c>
      <c r="C114" s="70">
        <f>$C$185+$C$186+$C$188+10*LOG10(C$112)+$C$189-$C$190-40*LOG10(C$113)+$C$171-C$84-C$85-$C$179*(C$80=1)</f>
        <v>-91.024365788155876</v>
      </c>
      <c r="D114" s="70">
        <f>$C$185+$C$186+$C$188+10*LOG10(D$112)+$C$189-$C$190-40*LOG10(D$113)+$C$171-D$84-D$85-$C$179*(D$80=1)</f>
        <v>-43.739778186332956</v>
      </c>
    </row>
    <row r="115" spans="2:19" x14ac:dyDescent="0.2">
      <c r="B115" s="95" t="str">
        <f>'Parameters List'!B115</f>
        <v>Tgt @ADCin (dBm) - 1st Rx - no calib.</v>
      </c>
      <c r="C115" s="70">
        <f>C$114-($C$188+$C$171-C$84-C$85-$C$179*(C$80=1))+$C$187+$C$170-C$82-C$83-$C$177*(C$80=1)</f>
        <v>-95.024365788155876</v>
      </c>
      <c r="D115" s="70">
        <f>D$114-($C$188+$C$171-D$84-D$85-$C$179*(D$80=1))+$C$187+$C$170-D$82-D$83-$C$177*(D$80=1)</f>
        <v>-37.739778186332956</v>
      </c>
      <c r="F115" s="43"/>
      <c r="G115" s="43"/>
      <c r="H115" s="43"/>
      <c r="I115" s="43"/>
      <c r="J115" s="43"/>
      <c r="K115" s="43"/>
      <c r="L115" s="43"/>
      <c r="M115" s="43"/>
      <c r="N115" s="43"/>
      <c r="O115" s="43"/>
      <c r="P115" s="43"/>
      <c r="Q115" s="43"/>
      <c r="R115" s="43"/>
      <c r="S115" s="43"/>
    </row>
    <row r="116" spans="2:19" x14ac:dyDescent="0.2">
      <c r="B116" s="95" t="str">
        <f>'Parameters List'!B116</f>
        <v>Tgt @ADCout (dBm) - 1st Rx</v>
      </c>
      <c r="C116" s="70">
        <f>C$114+20*LOG10($C$156/$C$157)-$C$177*(C$80=1)</f>
        <v>-71.024365788155876</v>
      </c>
      <c r="D116" s="70">
        <f>D$114+20*LOG10($C$156/$C$157)-$C$177*(D$80=1)</f>
        <v>-23.739778186332956</v>
      </c>
      <c r="F116" s="43"/>
      <c r="G116" s="43"/>
      <c r="H116" s="43"/>
      <c r="I116" s="43"/>
      <c r="J116" s="43"/>
      <c r="K116" s="43"/>
      <c r="L116" s="43"/>
      <c r="M116" s="43"/>
      <c r="N116" s="43"/>
      <c r="O116" s="43"/>
      <c r="P116" s="43"/>
      <c r="Q116" s="43"/>
      <c r="R116" s="43"/>
      <c r="S116" s="43"/>
    </row>
    <row r="117" spans="2:19" x14ac:dyDescent="0.2">
      <c r="B117" s="95" t="str">
        <f>'Parameters List'!B117</f>
        <v>Tgt @ADCout (dBm)</v>
      </c>
      <c r="C117" s="70">
        <f>20*LOG10(10^(C$114/20)+($C$155-1)*10^(C$116/20))+ (20*LOG10(C$34) - 2 * C$35) * (C$34&gt;1)</f>
        <v>-58.768688653761167</v>
      </c>
      <c r="D117" s="70">
        <f>20*LOG10(10^(D$114/20)+($C$155-1)*10^(D$116/20))+ (20*LOG10(D$34) - 2 * D$35) * (D$34&gt;1)</f>
        <v>-11.484101051938245</v>
      </c>
      <c r="G117" s="43"/>
      <c r="H117" s="43"/>
      <c r="I117" s="43"/>
      <c r="J117" s="43"/>
      <c r="K117" s="43"/>
      <c r="L117" s="43"/>
      <c r="M117" s="43"/>
      <c r="N117" s="43"/>
      <c r="O117" s="43"/>
      <c r="P117" s="43"/>
      <c r="Q117" s="43"/>
      <c r="R117" s="43"/>
      <c r="S117" s="43"/>
    </row>
    <row r="118" spans="2:19" x14ac:dyDescent="0.2">
      <c r="B118" s="79" t="str">
        <f>'Parameters List'!B118</f>
        <v>SNR (dB)</v>
      </c>
      <c r="C118" s="70">
        <f>C117-C$94-C$97+C$95</f>
        <v>24.683335018871858</v>
      </c>
      <c r="D118" s="70">
        <f>D117-D$94-D$97+D$95</f>
        <v>66.14305727789089</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'Parameters List'!B120</f>
        <v>Probability of Detection @ SNR (dB):</v>
      </c>
      <c r="C120" s="64">
        <v>15</v>
      </c>
      <c r="D120" s="64">
        <v>18</v>
      </c>
    </row>
    <row r="121" spans="2:19" x14ac:dyDescent="0.2">
      <c r="B121" s="71" t="str">
        <f>'Parameters List'!B121</f>
        <v>SWERLING (0, I, II, III, IV)</v>
      </c>
      <c r="C121" s="64">
        <v>1</v>
      </c>
      <c r="D121" s="64">
        <v>0</v>
      </c>
    </row>
    <row r="122" spans="2:19" x14ac:dyDescent="0.2">
      <c r="B122" s="79" t="str">
        <f>'Parameters List'!B122</f>
        <v>Probability of Detection</v>
      </c>
      <c r="C122" s="70">
        <f>pf_PD_PFA_CFAR("pd", C$74, C$120, C$121, C$68*2, 1)</f>
        <v>0.73742326593646546</v>
      </c>
      <c r="D122" s="70">
        <f>pf_PD_PFA_CFAR("pd", D$74, D$120, D$121, D$68*2, 1)</f>
        <v>0.99890844009087476</v>
      </c>
    </row>
    <row r="123" spans="2:19" x14ac:dyDescent="0.2">
      <c r="B123" s="71" t="str">
        <f>'Parameters List'!B123</f>
        <v>Pd for at least N of M detections (N,M)</v>
      </c>
      <c r="C123" s="105" t="s">
        <v>386</v>
      </c>
      <c r="D123" s="105" t="s">
        <v>386</v>
      </c>
    </row>
    <row r="124" spans="2:19" x14ac:dyDescent="0.2">
      <c r="B124" s="79" t="str">
        <f>'Parameters List'!B124</f>
        <v>Probability of Detection</v>
      </c>
      <c r="C124" s="70">
        <f>pf_PD_N_OUTOF_M(C$122, LEFT(C$123,FIND(",",C$123,1) - 1), MID(C$123,FIND(",",C$123,1)+1,100))</f>
        <v>0.98122463812449057</v>
      </c>
      <c r="D124" s="70">
        <f>pf_PD_N_OUTOF_M(D$122, LEFT(D$123,FIND(",",D$123,1) - 1), MID(D$123,FIND(",",D$123,1)+1,100))</f>
        <v>0.99999999999290778</v>
      </c>
    </row>
    <row r="125" spans="2:19" x14ac:dyDescent="0.2">
      <c r="B125" s="75"/>
    </row>
    <row r="126" spans="2:19" x14ac:dyDescent="0.2">
      <c r="B126" s="71" t="str">
        <f>'Parameters List'!B126</f>
        <v>Target Revisit Time (sec)</v>
      </c>
      <c r="C126" s="64">
        <v>0.05</v>
      </c>
      <c r="D126" s="64">
        <v>0.05</v>
      </c>
    </row>
    <row r="127" spans="2:19" x14ac:dyDescent="0.2">
      <c r="B127" s="68" t="str">
        <f>'Parameters List'!B127</f>
        <v>Acceleration Folding (m/s2)</v>
      </c>
      <c r="C127" s="67">
        <f>$C$107/C$126</f>
        <v>186206.49565217391</v>
      </c>
      <c r="D127" s="67">
        <f>$C$107/D$126</f>
        <v>186206.49565217391</v>
      </c>
    </row>
    <row r="128" spans="2:19" x14ac:dyDescent="0.2">
      <c r="B128" s="80" t="str">
        <f>'Parameters List'!B128</f>
        <v>Maximum Allowed Acceleration (m/s2)</v>
      </c>
      <c r="C128" s="70">
        <f>($C$107/4)/C$126</f>
        <v>46551.623913043477</v>
      </c>
      <c r="D128" s="70">
        <f>($C$107/4)/D$126</f>
        <v>46551.623913043477</v>
      </c>
    </row>
    <row r="129" spans="2:19" x14ac:dyDescent="0.2">
      <c r="B129" s="80" t="str">
        <f>'Parameters List'!B129</f>
        <v>Acceleration Ambiguity (m/s2)</v>
      </c>
      <c r="C129" s="70">
        <f>C$127-C$128</f>
        <v>139654.87173913044</v>
      </c>
      <c r="D129" s="70">
        <f>D$127-D$128</f>
        <v>139654.87173913044</v>
      </c>
    </row>
    <row r="130" spans="2:19" x14ac:dyDescent="0.2">
      <c r="B130" s="75"/>
    </row>
    <row r="131" spans="2:19" x14ac:dyDescent="0.2">
      <c r="B131" s="78" t="str">
        <f>'Parameters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'Parameters List'!B132</f>
        <v>SNR @ Range (m):</v>
      </c>
      <c r="C132" s="74">
        <f>$C$163*C$36 + C$41</f>
        <v>89.958491600000002</v>
      </c>
      <c r="D132" s="74">
        <f>$C$163*D$36 + D$41</f>
        <v>584.59529310000005</v>
      </c>
    </row>
    <row r="133" spans="2:19" x14ac:dyDescent="0.2">
      <c r="B133" s="79" t="str">
        <f>'Parameters List'!B133</f>
        <v>Tgt @ADCin (dBm) - Ref. Rx</v>
      </c>
      <c r="C133" s="70">
        <f>$C$185+$C$186+$C$188+10*LOG10(C$131)+$C$189-$C$190-40*LOG10(C$132)+$C$171-C$84-C$85-$C$179*(C$80=1)</f>
        <v>-21.227252202338207</v>
      </c>
      <c r="D133" s="70">
        <f>$C$185+$C$186+$C$188+10*LOG10(D$131)+$C$189-$C$190-40*LOG10(D$132)+$C$171-D$84-D$85-$C$179*(D$80=1)</f>
        <v>-43.739778186332956</v>
      </c>
    </row>
    <row r="134" spans="2:19" x14ac:dyDescent="0.2">
      <c r="B134" s="78" t="str">
        <f>'Parameters List'!B134</f>
        <v>Interferer @ Range (m)</v>
      </c>
      <c r="C134" s="74">
        <v>10000</v>
      </c>
      <c r="D134" s="74">
        <v>10000</v>
      </c>
    </row>
    <row r="135" spans="2:19" x14ac:dyDescent="0.2">
      <c r="B135" s="79" t="str">
        <f>'Parameters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'Parameters List'!B136</f>
        <v>Interferer @ ADCin (dBm) - 1st Rx</v>
      </c>
      <c r="C136" s="70">
        <f>C$135+20*LOG10($C$156/$C$157)-$C$177*(C$80=1)</f>
        <v>27.926533025505833</v>
      </c>
      <c r="D136" s="70">
        <f>$C$185+$C$186+$C$187-$C$166+$C$189-$C$190/3*2-20*LOG10(D$134)+$C$170-D$84-D$85-$C$177*(D$80=1)</f>
        <v>23.926533025505833</v>
      </c>
    </row>
    <row r="137" spans="2:19" x14ac:dyDescent="0.2">
      <c r="B137" s="81" t="str">
        <f>'Parameters List'!B137</f>
        <v>Ref. Rx Phase Noise @ADCin (dBm/bin)</v>
      </c>
      <c r="C137" s="67">
        <f>C$135+$C$165+10*LOG10(1/(C$30*10^-3))+10*LOG10($C$175*10^6/($C$106*10^3))</f>
        <v>-89.217666367451528</v>
      </c>
      <c r="D137" s="67">
        <f>D$135+$C$165+10*LOG10(1/(D$30*10^-3))+10*LOG10($C$175*10^6/($C$106*10^3))</f>
        <v>-71.354814914782054</v>
      </c>
    </row>
    <row r="138" spans="2:19" x14ac:dyDescent="0.2">
      <c r="B138" s="81" t="str">
        <f>'Parameters List'!B138</f>
        <v>Ref. Rx Phase Noise @ADCout (dBm/bin)</v>
      </c>
      <c r="C138" s="67">
        <f>C$137+C$95</f>
        <v>-32.061667234655282</v>
      </c>
      <c r="D138" s="67">
        <f>D$137+D$95</f>
        <v>-22.171621077669919</v>
      </c>
    </row>
    <row r="139" spans="2:19" x14ac:dyDescent="0.2">
      <c r="B139" s="81" t="str">
        <f>'Parameters List'!B139</f>
        <v>Ref. Rx Total Noise @ADCout (dBm/bin)</v>
      </c>
      <c r="C139" s="67">
        <f>10*LOG10(10 ^ (C$138 / 10) + 10 ^ (C$93 / 10))</f>
        <v>-31.906349167116925</v>
      </c>
      <c r="D139" s="67">
        <f>10*LOG10(10 ^ (D$138 / 10) + 10 ^ (D$93 / 10))</f>
        <v>-22.155432945098728</v>
      </c>
    </row>
    <row r="140" spans="2:19" x14ac:dyDescent="0.2">
      <c r="B140" s="81" t="str">
        <f>'Parameters List'!B140</f>
        <v>1st Rx Phase Noise @ADCout (dBm/bin)</v>
      </c>
      <c r="C140" s="67">
        <f>C$136+$C$165+10*LOG10(1/(C$30*10^-3))+10*LOG10($C$175*10^6/($C$106*10^3))+C$95</f>
        <v>-12.061667234655282</v>
      </c>
      <c r="D140" s="67">
        <f>D$136+$C$165+10*LOG10(1/(D$30*10^-3))+10*LOG10($C$175*10^6/($C$106*10^3))+D$95</f>
        <v>-6.1716210776699185</v>
      </c>
    </row>
    <row r="141" spans="2:19" x14ac:dyDescent="0.2">
      <c r="B141" s="81" t="str">
        <f>'Parameters List'!B141</f>
        <v>1st Rx Total Noise @ADCout (dBm/bin)</v>
      </c>
      <c r="C141" s="67">
        <f>10*LOG10(10 ^ (C$140 / 10) + 10 ^ (C$92 / 10))</f>
        <v>-12.038818188607479</v>
      </c>
      <c r="D141" s="67">
        <f>10*LOG10(10 ^ (D$140 / 10) + 10 ^ (D$92 / 10))</f>
        <v>-6.1673376422750028</v>
      </c>
    </row>
    <row r="142" spans="2:19" x14ac:dyDescent="0.2">
      <c r="B142" s="81" t="str">
        <f>'Parameters List'!B142</f>
        <v>Total Noise Power @ADCout (dBm/bin)</v>
      </c>
      <c r="C142" s="67">
        <f>10*LOG10((($C$155-1) * 10^(C$140/20) + 10^(C$138/20))^2*((C$34 - 10^(C$35/10))*(C$34&gt;1) + 1) ^ 2 + 10^(C$94/10))</f>
        <v>0.1995517710789704</v>
      </c>
      <c r="D142" s="67">
        <f>10*LOG10((($C$155-1) * 10^(D$140/20) + 10^(D$138/20))^2*((D$34 - 10^(D$35/10))*(D$34&gt;1) + 1) ^ 2 + 10^(D$94/10))</f>
        <v>6.2081054464318761</v>
      </c>
    </row>
    <row r="143" spans="2:19" x14ac:dyDescent="0.2">
      <c r="B143" s="79" t="str">
        <f>'Parameters List'!B143</f>
        <v>SNR (dB)</v>
      </c>
      <c r="C143" s="70">
        <f>IF(C$134&lt;=0, C$133+C$96-C$94, C$133+C$96 -C$142)-C$97</f>
        <v>65.536399240207402</v>
      </c>
      <c r="D143" s="70">
        <f>IF(D$134&lt;=0, D$133+D$96-D$94, D$133+D$96 -D$142)-D$97</f>
        <v>29.828154946510821</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'Parameters List'!B146</f>
        <v>Ref Rx Noise @ADCout (dBm/bin)</v>
      </c>
      <c r="C146" s="70">
        <f>C$93-C$95</f>
        <v>-103.60539921951661</v>
      </c>
      <c r="D146" s="83">
        <f>D$93-D$95</f>
        <v>-95.632593923832502</v>
      </c>
      <c r="F146" s="43"/>
      <c r="G146" s="43"/>
      <c r="H146" s="43"/>
      <c r="I146" s="43"/>
      <c r="J146" s="43"/>
      <c r="K146" s="43"/>
      <c r="L146" s="43"/>
      <c r="M146" s="43"/>
      <c r="N146" s="43"/>
      <c r="O146" s="43"/>
      <c r="P146" s="43"/>
      <c r="Q146" s="43"/>
      <c r="R146" s="43"/>
      <c r="S146" s="43"/>
    </row>
    <row r="147" spans="2:19" x14ac:dyDescent="0.2">
      <c r="B147" s="82" t="str">
        <f>'Parameters List'!B147</f>
        <v>1st Rx Noise @ADCout (dBm/bin)</v>
      </c>
      <c r="C147" s="70">
        <f>C$92-C$95</f>
        <v>-91.995399219516628</v>
      </c>
      <c r="D147" s="83">
        <f>D$92-D$95</f>
        <v>-85.412593923832503</v>
      </c>
    </row>
    <row r="148" spans="2:19" ht="15" thickBot="1" x14ac:dyDescent="0.25">
      <c r="B148" s="84" t="str">
        <f>'Parameters List'!B148</f>
        <v>Beam Total Noise @ADCout (dBm/bin)</v>
      </c>
      <c r="C148" s="85">
        <f>C$94-C$95 - (10*LOG10(C$34) - C$35) * (C$34&gt;1)</f>
        <v>-85.900496726199393</v>
      </c>
      <c r="D148" s="86">
        <f>D$94-D$95 - (10*LOG10(D$34) - D$35) * (D$34&gt;1)</f>
        <v>-79.289990722060324</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'Parameters List'!B151</f>
        <v>Ref Rx Noise @ADCout (dBm/bin)</v>
      </c>
      <c r="C151" s="70">
        <f>C$139-C$95</f>
        <v>-89.062348299913168</v>
      </c>
      <c r="D151" s="83">
        <f>D$139-D$95</f>
        <v>-71.338626782210866</v>
      </c>
      <c r="F151" s="43"/>
      <c r="G151" s="43"/>
      <c r="H151" s="43"/>
      <c r="I151" s="43"/>
      <c r="J151" s="43"/>
      <c r="K151" s="43"/>
      <c r="L151" s="43"/>
      <c r="M151" s="43"/>
      <c r="N151" s="43"/>
      <c r="O151" s="43"/>
      <c r="P151" s="43"/>
      <c r="Q151" s="43"/>
      <c r="R151" s="43"/>
      <c r="S151" s="43"/>
    </row>
    <row r="152" spans="2:19" x14ac:dyDescent="0.2">
      <c r="B152" s="82" t="str">
        <f>'Parameters List'!B152</f>
        <v>1st Rx Noise @ADCout (dBm/bin)</v>
      </c>
      <c r="C152" s="70">
        <f>C$141-C$95</f>
        <v>-69.194817321403718</v>
      </c>
      <c r="D152" s="83">
        <f>D$141-D$95</f>
        <v>-55.350531479387136</v>
      </c>
    </row>
    <row r="153" spans="2:19" ht="15" thickBot="1" x14ac:dyDescent="0.25">
      <c r="B153" s="84" t="str">
        <f>'Parameters List'!B153</f>
        <v>Beam Total Noise @ADCout (dBm/bin)</v>
      </c>
      <c r="C153" s="85">
        <f>10*LOG10(10 ^ ((C$137 + C$96 - (20*LOG10(C$34) - 2*C$35) * (C$34&gt;1))/ 10) + 10 ^ ((C$94 - (10*LOG10(C$34) - C$35) * (C$34&gt;1)) / 10)) - C$95</f>
        <v>-56.956447361717274</v>
      </c>
      <c r="D153" s="86">
        <f>10*LOG10(10 ^ ((D$137 + D$96 - (20*LOG10(D$34) - 2*D$35) * (D$34&gt;1))/ 10) + 10 ^ ((D$94 - (10*LOG10(D$34) - D$35) * (D$34&gt;1)) / 10)) - D$95</f>
        <v>-39.09872217780552</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'General System Parameters'!B9</f>
        <v># Rcvrs</v>
      </c>
      <c r="C155" s="33">
        <f>'General System Parameters'!C9</f>
        <v>5</v>
      </c>
      <c r="F155" s="43"/>
      <c r="G155" s="43"/>
      <c r="H155" s="43"/>
      <c r="I155" s="43"/>
      <c r="J155" s="43"/>
      <c r="K155" s="43"/>
      <c r="L155" s="43"/>
      <c r="M155" s="43"/>
      <c r="N155" s="43"/>
      <c r="O155" s="43"/>
      <c r="P155" s="43"/>
      <c r="Q155" s="43"/>
      <c r="R155" s="43"/>
      <c r="S155" s="43"/>
    </row>
    <row r="156" spans="2:19" x14ac:dyDescent="0.2">
      <c r="B156" s="32" t="str">
        <f>'General System Parameters'!B10</f>
        <v># Patches in 1st Rx</v>
      </c>
      <c r="C156" s="33">
        <f>'General System Parameters'!C10</f>
        <v>10</v>
      </c>
      <c r="F156" s="43"/>
      <c r="G156" s="43"/>
      <c r="H156" s="43"/>
      <c r="I156" s="43"/>
      <c r="J156" s="43"/>
      <c r="K156" s="43"/>
      <c r="L156" s="43"/>
      <c r="M156" s="43"/>
      <c r="N156" s="43"/>
      <c r="O156" s="43"/>
      <c r="P156" s="43"/>
      <c r="Q156" s="43"/>
      <c r="R156" s="43"/>
      <c r="S156" s="43"/>
    </row>
    <row r="157" spans="2:19" x14ac:dyDescent="0.2">
      <c r="B157" s="32" t="str">
        <f>'General System Parameters'!B11</f>
        <v># Patches in Ref (Guard) Rx</v>
      </c>
      <c r="C157" s="33">
        <f>'General System Parameters'!C11</f>
        <v>1</v>
      </c>
      <c r="F157" s="43"/>
      <c r="G157" s="43"/>
      <c r="H157" s="43"/>
      <c r="I157" s="43"/>
      <c r="J157" s="43"/>
      <c r="K157" s="43"/>
      <c r="L157" s="43"/>
      <c r="M157" s="43"/>
      <c r="N157" s="43"/>
      <c r="O157" s="43"/>
      <c r="P157" s="43"/>
      <c r="Q157" s="43"/>
      <c r="R157" s="43"/>
      <c r="S157" s="43"/>
    </row>
    <row r="158" spans="2:19" x14ac:dyDescent="0.2">
      <c r="B158" s="32" t="str">
        <f>'General System Parameters'!B12</f>
        <v>Typical System Gain (dB) - 1st Rx</v>
      </c>
      <c r="C158" s="33">
        <f>'General System Parameters'!C12</f>
        <v>59.76</v>
      </c>
      <c r="F158" s="43"/>
      <c r="G158" s="43"/>
      <c r="H158" s="43"/>
      <c r="I158" s="43"/>
      <c r="J158" s="43"/>
      <c r="K158" s="43"/>
      <c r="L158" s="43"/>
      <c r="M158" s="43"/>
      <c r="N158" s="43"/>
      <c r="O158" s="43"/>
      <c r="P158" s="43"/>
      <c r="Q158" s="43"/>
      <c r="R158" s="43"/>
      <c r="S158" s="43"/>
    </row>
    <row r="159" spans="2:19" x14ac:dyDescent="0.2">
      <c r="B159" s="32" t="str">
        <f>'General System Parameters'!B13</f>
        <v>Typical System Gain (dB) - Ref (Guard) Rx</v>
      </c>
      <c r="C159" s="33">
        <f>'General System Parameters'!C13</f>
        <v>54.1</v>
      </c>
      <c r="F159" s="43"/>
      <c r="G159" s="43"/>
      <c r="H159" s="43"/>
      <c r="I159" s="43"/>
      <c r="J159" s="43"/>
      <c r="K159" s="43"/>
      <c r="L159" s="43"/>
      <c r="M159" s="43"/>
      <c r="N159" s="43"/>
      <c r="O159" s="43"/>
      <c r="P159" s="43"/>
      <c r="Q159" s="43"/>
      <c r="R159" s="43"/>
      <c r="S159" s="43"/>
    </row>
    <row r="160" spans="2:19" x14ac:dyDescent="0.2">
      <c r="B160" s="32" t="str">
        <f>'General System Parameters'!B14</f>
        <v>Typical 1st Rx Calibration (dB)</v>
      </c>
      <c r="C160" s="33">
        <f>'General System Parameters'!C14</f>
        <v>4.3400000000000105</v>
      </c>
      <c r="F160" s="43"/>
      <c r="G160" s="43"/>
      <c r="H160" s="43"/>
      <c r="I160" s="43"/>
      <c r="J160" s="43"/>
      <c r="K160" s="43"/>
      <c r="L160" s="43"/>
      <c r="M160" s="43"/>
      <c r="N160" s="43"/>
      <c r="O160" s="43"/>
      <c r="P160" s="43"/>
      <c r="Q160" s="43"/>
      <c r="R160" s="43"/>
      <c r="S160" s="43"/>
    </row>
    <row r="161" spans="2:19" x14ac:dyDescent="0.2">
      <c r="B161" s="32" t="str">
        <f>'General System Parameters'!B15</f>
        <v>System Propagation Delay (us)</v>
      </c>
      <c r="C161" s="33">
        <f>'General System Parameters'!C15</f>
        <v>0.15</v>
      </c>
      <c r="F161" s="43"/>
      <c r="G161" s="43"/>
      <c r="H161" s="43"/>
      <c r="I161" s="43"/>
      <c r="J161" s="43"/>
      <c r="K161" s="43"/>
      <c r="L161" s="43"/>
      <c r="M161" s="43"/>
      <c r="N161" s="43"/>
      <c r="O161" s="43"/>
      <c r="P161" s="43"/>
      <c r="Q161" s="43"/>
      <c r="R161" s="43"/>
      <c r="S161" s="43"/>
    </row>
    <row r="162" spans="2:19" x14ac:dyDescent="0.2">
      <c r="B162" s="32" t="str">
        <f>'General System Parameters'!B16</f>
        <v>c (m/s)</v>
      </c>
      <c r="C162" s="33">
        <f>'General System Parameters'!C16</f>
        <v>299792458</v>
      </c>
      <c r="F162" s="43"/>
      <c r="G162" s="43"/>
      <c r="H162" s="43"/>
      <c r="I162" s="43"/>
      <c r="J162" s="43"/>
      <c r="K162" s="43"/>
      <c r="L162" s="43"/>
      <c r="M162" s="43"/>
      <c r="N162" s="43"/>
      <c r="O162" s="43"/>
      <c r="P162" s="43"/>
      <c r="Q162" s="43"/>
      <c r="R162" s="43"/>
      <c r="S162" s="43"/>
    </row>
    <row r="163" spans="2:19" x14ac:dyDescent="0.2">
      <c r="B163" s="32" t="str">
        <f>'General System Parameters'!B17</f>
        <v>c/2 (m/μs)</v>
      </c>
      <c r="C163" s="33">
        <f>'General System Parameters'!C17</f>
        <v>149.89622900000001</v>
      </c>
      <c r="F163" s="43"/>
      <c r="G163" s="43"/>
      <c r="H163" s="43"/>
      <c r="I163" s="43"/>
      <c r="J163" s="43"/>
      <c r="K163" s="43"/>
      <c r="L163" s="43"/>
      <c r="M163" s="43"/>
      <c r="N163" s="43"/>
      <c r="O163" s="43"/>
      <c r="P163" s="43"/>
      <c r="Q163" s="43"/>
      <c r="R163" s="43"/>
      <c r="S163" s="43"/>
    </row>
    <row r="164" spans="2:19" x14ac:dyDescent="0.2">
      <c r="B164" s="30" t="str">
        <f>'General System Parameters'!B18</f>
        <v>Freq (GHz)</v>
      </c>
      <c r="C164" s="31">
        <f>'General System Parameters'!C18</f>
        <v>3.5</v>
      </c>
      <c r="F164" s="43"/>
      <c r="G164" s="43"/>
      <c r="H164" s="43"/>
      <c r="I164" s="43"/>
      <c r="J164" s="43"/>
      <c r="K164" s="43"/>
      <c r="L164" s="43"/>
      <c r="M164" s="43"/>
      <c r="N164" s="43"/>
      <c r="O164" s="43"/>
      <c r="P164" s="43"/>
      <c r="Q164" s="43"/>
      <c r="R164" s="43"/>
      <c r="S164" s="43"/>
    </row>
    <row r="165" spans="2:19" x14ac:dyDescent="0.2">
      <c r="B165" s="30" t="str">
        <f>'General System Parameters'!B19</f>
        <v>Phase Noise Level (dBc/Hz)</v>
      </c>
      <c r="C165" s="31">
        <f>'General System Parameters'!C19</f>
        <v>-125</v>
      </c>
      <c r="F165" s="43"/>
      <c r="G165" s="43"/>
      <c r="H165" s="43"/>
      <c r="I165" s="43"/>
      <c r="J165" s="43"/>
      <c r="K165" s="43"/>
      <c r="L165" s="43"/>
      <c r="M165" s="43"/>
      <c r="N165" s="43"/>
      <c r="O165" s="43"/>
      <c r="P165" s="43"/>
      <c r="Q165" s="43"/>
      <c r="R165" s="43"/>
      <c r="S165" s="43"/>
    </row>
    <row r="166" spans="2:19" x14ac:dyDescent="0.2">
      <c r="B166" s="30" t="str">
        <f>'General System Parameters'!B20</f>
        <v>Polarization Loss (dB)</v>
      </c>
      <c r="C166" s="31">
        <f>'General System Parameters'!C20</f>
        <v>0</v>
      </c>
      <c r="F166" s="43"/>
      <c r="G166" s="43"/>
      <c r="H166" s="43"/>
      <c r="I166" s="43"/>
      <c r="J166" s="43"/>
      <c r="K166" s="43"/>
      <c r="L166" s="43"/>
      <c r="M166" s="43"/>
      <c r="N166" s="43"/>
      <c r="O166" s="43"/>
      <c r="P166" s="43"/>
      <c r="Q166" s="43"/>
      <c r="R166" s="43"/>
      <c r="S166" s="43"/>
    </row>
    <row r="167" spans="2:19" x14ac:dyDescent="0.2">
      <c r="B167" s="34" t="str">
        <f>'General System Parameters'!B21</f>
        <v>λ (m)</v>
      </c>
      <c r="C167" s="35">
        <f>'General System Parameters'!C21</f>
        <v>8.5654988000000001E-2</v>
      </c>
      <c r="F167" s="43"/>
      <c r="G167" s="43"/>
      <c r="H167" s="43"/>
      <c r="I167" s="43"/>
      <c r="J167" s="43"/>
      <c r="K167" s="43"/>
      <c r="L167" s="43"/>
      <c r="M167" s="43"/>
      <c r="N167" s="43"/>
      <c r="O167" s="43"/>
      <c r="P167" s="43"/>
      <c r="Q167" s="43"/>
      <c r="R167" s="43"/>
      <c r="S167" s="43"/>
    </row>
    <row r="168" spans="2:19" x14ac:dyDescent="0.2">
      <c r="B168" s="34" t="str">
        <f>'General System Parameters'!B22</f>
        <v>Doppler factor (Hz/(m/sec))</v>
      </c>
      <c r="C168" s="35">
        <f>'General System Parameters'!C22</f>
        <v>23.349486663870643</v>
      </c>
      <c r="F168" s="43"/>
      <c r="G168" s="43"/>
      <c r="H168" s="43"/>
      <c r="I168" s="43"/>
      <c r="J168" s="43"/>
      <c r="K168" s="43"/>
      <c r="L168" s="43"/>
      <c r="M168" s="43"/>
      <c r="N168" s="43"/>
      <c r="O168" s="43"/>
      <c r="P168" s="43"/>
      <c r="Q168" s="43"/>
      <c r="R168" s="43"/>
      <c r="S168" s="43"/>
    </row>
    <row r="169" spans="2:19" x14ac:dyDescent="0.2">
      <c r="B169" s="36" t="str">
        <f>'General System Parameters'!B23</f>
        <v>ALC</v>
      </c>
      <c r="C169" s="31">
        <f>'General System Parameters'!C23</f>
        <v>0</v>
      </c>
      <c r="F169" s="43"/>
      <c r="G169" s="43"/>
      <c r="H169" s="43"/>
      <c r="I169" s="43"/>
      <c r="J169" s="43"/>
      <c r="K169" s="43"/>
      <c r="L169" s="43"/>
      <c r="M169" s="43"/>
      <c r="N169" s="43"/>
      <c r="O169" s="43"/>
      <c r="P169" s="43"/>
      <c r="Q169" s="43"/>
      <c r="R169" s="43"/>
      <c r="S169" s="43"/>
    </row>
    <row r="170" spans="2:19" x14ac:dyDescent="0.2">
      <c r="B170" s="36" t="str">
        <f>'General System Parameters'!B24</f>
        <v>Actual System Gain (dB) - 1st Rx</v>
      </c>
      <c r="C170" s="31">
        <f>'General System Parameters'!C24</f>
        <v>60</v>
      </c>
      <c r="F170" s="43"/>
      <c r="G170" s="43"/>
      <c r="H170" s="43"/>
      <c r="I170" s="43"/>
      <c r="J170" s="43"/>
      <c r="K170" s="43"/>
      <c r="L170" s="43"/>
      <c r="M170" s="43"/>
      <c r="N170" s="43"/>
      <c r="O170" s="43"/>
      <c r="P170" s="43"/>
      <c r="Q170" s="43"/>
      <c r="R170" s="43"/>
      <c r="S170" s="43"/>
    </row>
    <row r="171" spans="2:19" x14ac:dyDescent="0.2">
      <c r="B171" s="36" t="str">
        <f>'General System Parameters'!B25</f>
        <v>Actual System Gain (dB) - Ref Rx</v>
      </c>
      <c r="C171" s="31">
        <f>'General System Parameters'!C25</f>
        <v>54</v>
      </c>
      <c r="F171" s="43"/>
      <c r="G171" s="43"/>
      <c r="H171" s="43"/>
      <c r="I171" s="43"/>
      <c r="J171" s="43"/>
      <c r="K171" s="43"/>
      <c r="L171" s="43"/>
      <c r="M171" s="43"/>
      <c r="N171" s="43"/>
      <c r="O171" s="43"/>
      <c r="P171" s="43"/>
      <c r="Q171" s="43"/>
      <c r="R171" s="43"/>
      <c r="S171" s="43"/>
    </row>
    <row r="172" spans="2:19" x14ac:dyDescent="0.2">
      <c r="B172" s="34" t="str">
        <f>'General System Parameters'!B26</f>
        <v>Actual 1st Rx Calibration (dB)</v>
      </c>
      <c r="C172" s="35">
        <f>'General System Parameters'!C26</f>
        <v>4</v>
      </c>
      <c r="F172" s="43"/>
      <c r="G172" s="43"/>
      <c r="H172" s="43"/>
      <c r="I172" s="43"/>
      <c r="J172" s="43"/>
      <c r="K172" s="43"/>
      <c r="L172" s="43"/>
      <c r="M172" s="43"/>
      <c r="N172" s="43"/>
      <c r="O172" s="43"/>
      <c r="P172" s="43"/>
      <c r="Q172" s="43"/>
      <c r="R172" s="43"/>
      <c r="S172" s="43"/>
    </row>
    <row r="173" spans="2:19" x14ac:dyDescent="0.2">
      <c r="B173" s="32" t="str">
        <f>'General System Parameters'!B27</f>
        <v>KT (dBm/Hz)</v>
      </c>
      <c r="C173" s="33">
        <f>'General System Parameters'!C27</f>
        <v>-174</v>
      </c>
      <c r="F173" s="43"/>
      <c r="G173" s="43"/>
      <c r="H173" s="43"/>
      <c r="I173" s="43"/>
      <c r="J173" s="43"/>
      <c r="K173" s="43"/>
      <c r="L173" s="43"/>
      <c r="M173" s="43"/>
      <c r="N173" s="43"/>
      <c r="O173" s="43"/>
      <c r="P173" s="43"/>
      <c r="Q173" s="43"/>
      <c r="R173" s="43"/>
      <c r="S173" s="43"/>
    </row>
    <row r="174" spans="2:19" x14ac:dyDescent="0.2">
      <c r="B174" s="32" t="str">
        <f>'General System Parameters'!B28</f>
        <v>Sample Period (us)</v>
      </c>
      <c r="C174" s="33">
        <f>'General System Parameters'!C28</f>
        <v>1.2500000000000001E-2</v>
      </c>
      <c r="F174" s="43"/>
      <c r="G174" s="43"/>
      <c r="H174" s="43"/>
      <c r="I174" s="43"/>
      <c r="J174" s="43"/>
      <c r="K174" s="43"/>
      <c r="L174" s="43"/>
      <c r="M174" s="43"/>
      <c r="N174" s="43"/>
      <c r="O174" s="43"/>
      <c r="P174" s="43"/>
      <c r="Q174" s="43"/>
      <c r="R174" s="43"/>
      <c r="S174" s="43"/>
    </row>
    <row r="175" spans="2:19" x14ac:dyDescent="0.2">
      <c r="B175" s="37" t="str">
        <f>'General System Parameters'!B29</f>
        <v>ADC Bandwidth (MHz)</v>
      </c>
      <c r="C175" s="35">
        <f>'General System Parameters'!C29</f>
        <v>40</v>
      </c>
      <c r="F175" s="43"/>
      <c r="G175" s="43"/>
      <c r="H175" s="43"/>
      <c r="I175" s="43"/>
      <c r="J175" s="43"/>
      <c r="K175" s="43"/>
      <c r="L175" s="43"/>
      <c r="M175" s="43"/>
      <c r="N175" s="43"/>
      <c r="O175" s="43"/>
      <c r="P175" s="43"/>
      <c r="Q175" s="43"/>
      <c r="R175" s="43"/>
      <c r="S175" s="43"/>
    </row>
    <row r="176" spans="2:19" x14ac:dyDescent="0.2">
      <c r="B176" s="32" t="str">
        <f>'General System Parameters'!B30</f>
        <v>ADC Noise Level (dBm)</v>
      </c>
      <c r="C176" s="33">
        <f>'General System Parameters'!C30</f>
        <v>-65</v>
      </c>
      <c r="F176" s="43"/>
      <c r="G176" s="43"/>
      <c r="H176" s="43"/>
      <c r="I176" s="43"/>
      <c r="J176" s="43"/>
      <c r="K176" s="43"/>
      <c r="L176" s="43"/>
      <c r="M176" s="43"/>
      <c r="N176" s="43"/>
      <c r="O176" s="43"/>
      <c r="P176" s="43"/>
      <c r="Q176" s="43"/>
      <c r="R176" s="43"/>
      <c r="S176" s="43"/>
    </row>
    <row r="177" spans="2:19" x14ac:dyDescent="0.2">
      <c r="B177" s="32" t="str">
        <f>'General System Parameters'!B31</f>
        <v>Tapering Signal Gain Loss (dB) - 1st Rx</v>
      </c>
      <c r="C177" s="33">
        <f>'General System Parameters'!C31</f>
        <v>3.51</v>
      </c>
      <c r="F177" s="43"/>
      <c r="G177" s="43"/>
      <c r="H177" s="43"/>
      <c r="I177" s="43"/>
      <c r="J177" s="43"/>
      <c r="K177" s="43"/>
      <c r="L177" s="43"/>
      <c r="M177" s="43"/>
      <c r="N177" s="43"/>
      <c r="O177" s="43"/>
      <c r="P177" s="43"/>
      <c r="Q177" s="43"/>
      <c r="R177" s="43"/>
      <c r="S177" s="43"/>
    </row>
    <row r="178" spans="2:19" x14ac:dyDescent="0.2">
      <c r="B178" s="32" t="str">
        <f>'General System Parameters'!B32</f>
        <v>Tapering Noise Gain Loss (dB) - 1st Rx</v>
      </c>
      <c r="C178" s="33">
        <f>'General System Parameters'!C32</f>
        <v>3.1337000000000002</v>
      </c>
      <c r="F178" s="43"/>
      <c r="G178" s="43"/>
      <c r="H178" s="43"/>
      <c r="I178" s="43"/>
      <c r="J178" s="43"/>
      <c r="K178" s="43"/>
      <c r="L178" s="43"/>
      <c r="M178" s="43"/>
      <c r="N178" s="43"/>
      <c r="O178" s="43"/>
      <c r="P178" s="43"/>
      <c r="Q178" s="43"/>
      <c r="R178" s="43"/>
      <c r="S178" s="43"/>
    </row>
    <row r="179" spans="2:19" x14ac:dyDescent="0.2">
      <c r="B179" s="32" t="str">
        <f>'General System Parameters'!B33</f>
        <v>Tapering Signal Gain Loss (dB) - Ref (Guard) Rx</v>
      </c>
      <c r="C179" s="33">
        <f>'General System Parameters'!C33</f>
        <v>0</v>
      </c>
      <c r="F179" s="43"/>
      <c r="G179" s="43"/>
      <c r="H179" s="43"/>
      <c r="I179" s="43"/>
      <c r="J179" s="43"/>
      <c r="K179" s="43"/>
      <c r="L179" s="43"/>
      <c r="M179" s="43"/>
      <c r="N179" s="43"/>
      <c r="O179" s="43"/>
      <c r="P179" s="43"/>
      <c r="Q179" s="43"/>
      <c r="R179" s="43"/>
      <c r="S179" s="43"/>
    </row>
    <row r="180" spans="2:19" x14ac:dyDescent="0.2">
      <c r="B180" s="32" t="str">
        <f>'General System Parameters'!B34</f>
        <v>Tapering Noise Gain Loss (dB) - Ref (Guard) Rx</v>
      </c>
      <c r="C180" s="33">
        <f>'General System Parameters'!C34</f>
        <v>0</v>
      </c>
      <c r="F180" s="43"/>
      <c r="G180" s="43"/>
      <c r="H180" s="43"/>
      <c r="I180" s="43"/>
      <c r="J180" s="43"/>
      <c r="K180" s="43"/>
      <c r="L180" s="43"/>
      <c r="M180" s="43"/>
      <c r="N180" s="43"/>
      <c r="O180" s="43"/>
      <c r="P180" s="43"/>
      <c r="Q180" s="43"/>
      <c r="R180" s="43"/>
      <c r="S180" s="43"/>
    </row>
    <row r="181" spans="2:19" x14ac:dyDescent="0.2">
      <c r="B181" s="37" t="str">
        <f>'General System Parameters'!B35</f>
        <v>Tapering Rx Loss (dB)</v>
      </c>
      <c r="C181" s="35">
        <f>'General System Parameters'!C35</f>
        <v>0.37629999999999963</v>
      </c>
      <c r="F181" s="43"/>
      <c r="G181" s="43"/>
      <c r="H181" s="43"/>
      <c r="I181" s="43"/>
      <c r="J181" s="43"/>
      <c r="K181" s="43"/>
      <c r="L181" s="43"/>
      <c r="M181" s="43"/>
      <c r="N181" s="43"/>
      <c r="O181" s="43"/>
      <c r="P181" s="43"/>
      <c r="Q181" s="43"/>
      <c r="R181" s="43"/>
      <c r="S181" s="43"/>
    </row>
    <row r="182" spans="2:19" x14ac:dyDescent="0.2">
      <c r="B182" s="30" t="str">
        <f>'General System Parameters'!B36</f>
        <v>Number of T/R modules</v>
      </c>
      <c r="C182" s="31">
        <f>'General System Parameters'!C36</f>
        <v>41</v>
      </c>
      <c r="F182" s="43"/>
      <c r="G182" s="43"/>
      <c r="H182" s="43"/>
      <c r="I182" s="43"/>
      <c r="J182" s="43"/>
      <c r="K182" s="43"/>
      <c r="L182" s="43"/>
      <c r="M182" s="43"/>
      <c r="N182" s="43"/>
      <c r="O182" s="43"/>
      <c r="P182" s="43"/>
      <c r="Q182" s="43"/>
      <c r="R182" s="43"/>
      <c r="S182" s="43"/>
    </row>
    <row r="183" spans="2:19" x14ac:dyDescent="0.2">
      <c r="B183" s="30" t="str">
        <f>'General System Parameters'!B37</f>
        <v>Power per T/R module</v>
      </c>
      <c r="C183" s="31">
        <f>'General System Parameters'!C37</f>
        <v>10</v>
      </c>
      <c r="F183" s="43"/>
      <c r="G183" s="43"/>
      <c r="H183" s="43"/>
      <c r="I183" s="43"/>
      <c r="J183" s="43"/>
      <c r="K183" s="43"/>
      <c r="L183" s="43"/>
      <c r="M183" s="43"/>
      <c r="N183" s="43"/>
      <c r="O183" s="43"/>
      <c r="P183" s="43"/>
      <c r="Q183" s="43"/>
      <c r="R183" s="43"/>
      <c r="S183" s="43"/>
    </row>
    <row r="184" spans="2:19" x14ac:dyDescent="0.2">
      <c r="B184" s="30" t="str">
        <f>'General System Parameters'!B38</f>
        <v>Gain per T/R module [dB]</v>
      </c>
      <c r="C184" s="31">
        <f>'General System Parameters'!C38</f>
        <v>5</v>
      </c>
      <c r="F184" s="43"/>
      <c r="G184" s="43"/>
      <c r="H184" s="43"/>
      <c r="I184" s="43"/>
      <c r="J184" s="43"/>
      <c r="K184" s="43"/>
      <c r="L184" s="43"/>
      <c r="M184" s="43"/>
      <c r="N184" s="43"/>
      <c r="O184" s="43"/>
      <c r="P184" s="43"/>
      <c r="Q184" s="43"/>
      <c r="R184" s="43"/>
      <c r="S184" s="43"/>
    </row>
    <row r="185" spans="2:19" x14ac:dyDescent="0.2">
      <c r="B185" s="37" t="str">
        <f>'General System Parameters'!B39</f>
        <v>Available Power (dBm)</v>
      </c>
      <c r="C185" s="35">
        <f>'General System Parameters'!C39</f>
        <v>56.127838567197358</v>
      </c>
      <c r="F185" s="43"/>
      <c r="G185" s="43"/>
      <c r="H185" s="43"/>
      <c r="I185" s="43"/>
      <c r="J185" s="43"/>
      <c r="K185" s="43"/>
      <c r="L185" s="43"/>
      <c r="M185" s="43"/>
      <c r="N185" s="43"/>
      <c r="O185" s="43"/>
      <c r="P185" s="43"/>
      <c r="Q185" s="43"/>
      <c r="R185" s="43"/>
      <c r="S185" s="43"/>
    </row>
    <row r="186" spans="2:19" x14ac:dyDescent="0.2">
      <c r="B186" s="37" t="str">
        <f>'General System Parameters'!B40</f>
        <v>Gt,Gr</v>
      </c>
      <c r="C186" s="35">
        <f>'General System Parameters'!C40</f>
        <v>21.127838567197355</v>
      </c>
      <c r="F186" s="43"/>
      <c r="G186" s="43"/>
      <c r="H186" s="43"/>
      <c r="I186" s="43"/>
      <c r="J186" s="43"/>
      <c r="K186" s="43"/>
      <c r="L186" s="43"/>
      <c r="M186" s="43"/>
      <c r="N186" s="43"/>
      <c r="O186" s="43"/>
      <c r="P186" s="43"/>
      <c r="Q186" s="43"/>
      <c r="R186" s="43"/>
      <c r="S186" s="43"/>
    </row>
    <row r="187" spans="2:19" x14ac:dyDescent="0.2">
      <c r="B187" s="37" t="str">
        <f>'General System Parameters'!B41</f>
        <v>Gr - 1st Rx</v>
      </c>
      <c r="C187" s="35">
        <f>'General System Parameters'!C41</f>
        <v>15</v>
      </c>
      <c r="F187" s="43"/>
      <c r="G187" s="43"/>
      <c r="H187" s="43"/>
      <c r="I187" s="43"/>
      <c r="J187" s="43"/>
      <c r="K187" s="43"/>
      <c r="L187" s="43"/>
      <c r="M187" s="43"/>
      <c r="N187" s="43"/>
      <c r="O187" s="43"/>
      <c r="P187" s="43"/>
      <c r="Q187" s="43"/>
      <c r="R187" s="43"/>
      <c r="S187" s="43"/>
    </row>
    <row r="188" spans="2:19" x14ac:dyDescent="0.2">
      <c r="B188" s="37" t="str">
        <f>'General System Parameters'!B42</f>
        <v>Gr - Ref (Guard) Rx</v>
      </c>
      <c r="C188" s="35">
        <f>'General System Parameters'!C42</f>
        <v>5</v>
      </c>
      <c r="F188" s="43"/>
      <c r="G188" s="43"/>
      <c r="H188" s="43"/>
      <c r="I188" s="43"/>
      <c r="J188" s="43"/>
      <c r="K188" s="43"/>
      <c r="L188" s="43"/>
      <c r="M188" s="43"/>
      <c r="N188" s="43"/>
      <c r="O188" s="43"/>
      <c r="P188" s="43"/>
      <c r="Q188" s="43"/>
      <c r="R188" s="43"/>
      <c r="S188" s="43"/>
    </row>
    <row r="189" spans="2:19" x14ac:dyDescent="0.2">
      <c r="B189" s="37" t="str">
        <f>'General System Parameters'!B43</f>
        <v>λ2 (dB/m2)</v>
      </c>
      <c r="C189" s="35">
        <f>'General System Parameters'!C43</f>
        <v>-21.344946828446961</v>
      </c>
      <c r="F189" s="43"/>
      <c r="G189" s="43"/>
      <c r="H189" s="43"/>
      <c r="I189" s="43"/>
      <c r="J189" s="43"/>
      <c r="K189" s="43"/>
      <c r="L189" s="43"/>
      <c r="M189" s="43"/>
      <c r="N189" s="43"/>
      <c r="O189" s="43"/>
      <c r="P189" s="43"/>
      <c r="Q189" s="43"/>
      <c r="R189" s="43"/>
      <c r="S189" s="43"/>
    </row>
    <row r="190" spans="2:19" x14ac:dyDescent="0.2">
      <c r="B190" s="34" t="str">
        <f>'General System Parameters'!B44</f>
        <v>(4p)^3 (dB)</v>
      </c>
      <c r="C190" s="35">
        <f>'General System Parameters'!C44</f>
        <v>32.976295920662885</v>
      </c>
      <c r="F190" s="43"/>
      <c r="G190" s="43"/>
      <c r="H190" s="43"/>
      <c r="I190" s="43"/>
      <c r="J190" s="43"/>
      <c r="K190" s="43"/>
      <c r="L190" s="43"/>
      <c r="M190" s="43"/>
      <c r="N190" s="43"/>
      <c r="O190" s="43"/>
      <c r="P190" s="43"/>
      <c r="Q190" s="43"/>
      <c r="R190" s="43"/>
      <c r="S190" s="43"/>
    </row>
    <row r="191" spans="2:19" x14ac:dyDescent="0.2">
      <c r="B191" s="34" t="str">
        <f>'General System Parameters'!B45</f>
        <v>Miscellaneous Losses (dB)</v>
      </c>
      <c r="C191" s="35">
        <f>'General System Parameters'!C45</f>
        <v>0</v>
      </c>
      <c r="F191" s="43"/>
      <c r="G191" s="43"/>
      <c r="H191" s="43"/>
      <c r="I191" s="43"/>
      <c r="J191" s="43"/>
      <c r="K191" s="43"/>
      <c r="L191" s="43"/>
      <c r="M191" s="43"/>
      <c r="N191" s="43"/>
      <c r="O191" s="43"/>
      <c r="P191" s="43"/>
      <c r="Q191" s="43"/>
      <c r="R191" s="43"/>
      <c r="S191" s="43"/>
    </row>
    <row r="192" spans="2:19" x14ac:dyDescent="0.2">
      <c r="B192" s="36" t="str">
        <f>'General System Parameters'!B46</f>
        <v>FFT Window: BH</v>
      </c>
      <c r="C192" s="31" t="str">
        <f>'General System Parameters'!C46</f>
        <v>BH</v>
      </c>
      <c r="F192" s="43"/>
      <c r="G192" s="43"/>
      <c r="H192" s="43"/>
      <c r="I192" s="43"/>
      <c r="J192" s="43"/>
      <c r="K192" s="43"/>
      <c r="L192" s="43"/>
      <c r="M192" s="43"/>
      <c r="N192" s="43"/>
      <c r="O192" s="43"/>
      <c r="P192" s="43"/>
      <c r="Q192" s="43"/>
      <c r="R192" s="43"/>
      <c r="S192" s="43"/>
    </row>
    <row r="193" spans="2:19" x14ac:dyDescent="0.2">
      <c r="B193" s="34" t="str">
        <f>'General System Parameters'!B47</f>
        <v>Signal Gain Loss (dB)</v>
      </c>
      <c r="C193" s="35">
        <f>'General System Parameters'!C47</f>
        <v>8.9499999999999993</v>
      </c>
      <c r="F193" s="43"/>
      <c r="G193" s="43"/>
      <c r="H193" s="43"/>
      <c r="I193" s="43"/>
      <c r="J193" s="43"/>
      <c r="K193" s="43"/>
      <c r="L193" s="43"/>
      <c r="M193" s="43"/>
      <c r="N193" s="43"/>
      <c r="O193" s="43"/>
      <c r="P193" s="43"/>
      <c r="Q193" s="43"/>
      <c r="R193" s="43"/>
      <c r="S193" s="43"/>
    </row>
    <row r="194" spans="2:19" x14ac:dyDescent="0.2">
      <c r="B194" s="34" t="str">
        <f>'General System Parameters'!B48</f>
        <v>Noise Gain Loss (dB)</v>
      </c>
      <c r="C194" s="35">
        <f>'General System Parameters'!C48</f>
        <v>5.9</v>
      </c>
      <c r="F194" s="43"/>
      <c r="G194" s="43"/>
      <c r="H194" s="43"/>
      <c r="I194" s="43"/>
      <c r="J194" s="43"/>
      <c r="K194" s="43"/>
      <c r="L194" s="43"/>
      <c r="M194" s="43"/>
      <c r="N194" s="43"/>
      <c r="O194" s="43"/>
      <c r="P194" s="43"/>
      <c r="Q194" s="43"/>
      <c r="R194" s="43"/>
      <c r="S194" s="43"/>
    </row>
    <row r="195" spans="2:19" x14ac:dyDescent="0.2">
      <c r="B195" s="34" t="str">
        <f>'General System Parameters'!B49</f>
        <v>Normalized ENBW (dB)</v>
      </c>
      <c r="C195" s="35">
        <f>'General System Parameters'!C49</f>
        <v>3.0499999999999989</v>
      </c>
      <c r="F195" s="43"/>
      <c r="G195" s="43"/>
      <c r="H195" s="43"/>
      <c r="I195" s="43"/>
      <c r="J195" s="43"/>
      <c r="K195" s="43"/>
      <c r="L195" s="43"/>
      <c r="M195" s="43"/>
      <c r="N195" s="43"/>
      <c r="O195" s="43"/>
      <c r="P195" s="43"/>
      <c r="Q195" s="43"/>
      <c r="R195" s="43"/>
      <c r="S195" s="43"/>
    </row>
    <row r="196" spans="2:19" x14ac:dyDescent="0.2">
      <c r="B196" s="34" t="str">
        <f>'General System Parameters'!B50</f>
        <v>Window 3dB BW (bins)</v>
      </c>
      <c r="C196" s="35">
        <f>'General System Parameters'!C50</f>
        <v>1.9</v>
      </c>
      <c r="F196" s="43"/>
      <c r="G196" s="43"/>
      <c r="H196" s="43"/>
      <c r="I196" s="43"/>
      <c r="J196" s="43"/>
      <c r="K196" s="43"/>
      <c r="L196" s="43"/>
      <c r="M196" s="43"/>
      <c r="N196" s="43"/>
      <c r="O196" s="43"/>
      <c r="P196" s="43"/>
      <c r="Q196" s="43"/>
      <c r="R196" s="43"/>
      <c r="S196" s="43"/>
    </row>
    <row r="197" spans="2:19" x14ac:dyDescent="0.2">
      <c r="B197" s="34" t="str">
        <f>'General System Parameters'!B51</f>
        <v>Window 6dB BW (bins)</v>
      </c>
      <c r="C197" s="35">
        <f>'General System Parameters'!C51</f>
        <v>2.72</v>
      </c>
      <c r="F197" s="43"/>
      <c r="G197" s="43"/>
      <c r="H197" s="43"/>
      <c r="I197" s="43"/>
      <c r="J197" s="43"/>
      <c r="K197" s="43"/>
      <c r="L197" s="43"/>
      <c r="M197" s="43"/>
      <c r="N197" s="43"/>
      <c r="O197" s="43"/>
      <c r="P197" s="43"/>
      <c r="Q197" s="43"/>
      <c r="R197" s="43"/>
      <c r="S197" s="43"/>
    </row>
    <row r="198" spans="2:19" x14ac:dyDescent="0.2">
      <c r="B198" s="34" t="str">
        <f>'General System Parameters'!B52</f>
        <v>Scallop Loss (dB)</v>
      </c>
      <c r="C198" s="35">
        <f>'General System Parameters'!C52</f>
        <v>0.41278500000000001</v>
      </c>
      <c r="F198" s="43"/>
      <c r="G198" s="43"/>
      <c r="H198" s="43"/>
      <c r="I198" s="43"/>
      <c r="J198" s="43"/>
      <c r="K198" s="43"/>
      <c r="L198" s="43"/>
      <c r="M198" s="43"/>
      <c r="N198" s="43"/>
      <c r="O198" s="43"/>
      <c r="P198" s="43"/>
      <c r="Q198" s="43"/>
      <c r="R198" s="43"/>
      <c r="S198" s="43"/>
    </row>
    <row r="199" spans="2:19" x14ac:dyDescent="0.2">
      <c r="B199" s="32" t="str">
        <f>'General System Parameters'!B53</f>
        <v>Rectangular 6dB BW (bins)</v>
      </c>
      <c r="C199" s="33">
        <f>'General System Parameters'!C53</f>
        <v>1.21</v>
      </c>
      <c r="F199" s="43"/>
      <c r="G199" s="43"/>
      <c r="H199" s="43"/>
      <c r="I199" s="43"/>
      <c r="J199" s="43"/>
      <c r="K199" s="43"/>
      <c r="L199" s="43"/>
      <c r="M199" s="43"/>
      <c r="N199" s="43"/>
      <c r="O199" s="43"/>
      <c r="P199" s="43"/>
      <c r="Q199" s="43"/>
      <c r="R199" s="43"/>
      <c r="S199" s="43"/>
    </row>
    <row r="200" spans="2:19" x14ac:dyDescent="0.2">
      <c r="B200" s="34" t="str">
        <f>'General System Parameters'!B54</f>
        <v>Window Peak Spreading (bins)</v>
      </c>
      <c r="C200" s="35">
        <f>'General System Parameters'!C54</f>
        <v>9</v>
      </c>
      <c r="F200" s="43"/>
      <c r="G200" s="43"/>
      <c r="H200" s="43"/>
      <c r="I200" s="43"/>
      <c r="J200" s="43"/>
      <c r="K200" s="43"/>
      <c r="L200" s="43"/>
      <c r="M200" s="43"/>
      <c r="N200" s="43"/>
      <c r="O200" s="43"/>
      <c r="P200" s="43"/>
      <c r="Q200" s="43"/>
      <c r="R200" s="43"/>
      <c r="S200" s="43"/>
    </row>
    <row r="201" spans="2:19" x14ac:dyDescent="0.2">
      <c r="B201" s="36" t="str">
        <f>'General System Parameters'!B55</f>
        <v>#samples for noise estimation</v>
      </c>
      <c r="C201" s="31">
        <f>'General System Parameters'!C55</f>
        <v>12</v>
      </c>
      <c r="F201" s="43"/>
      <c r="G201" s="43"/>
      <c r="H201" s="43"/>
      <c r="I201" s="43"/>
      <c r="J201" s="43"/>
      <c r="K201" s="43"/>
      <c r="L201" s="43"/>
      <c r="M201" s="43"/>
      <c r="N201" s="43"/>
      <c r="O201" s="43"/>
      <c r="P201" s="43"/>
      <c r="Q201" s="43"/>
      <c r="R201" s="43"/>
      <c r="S201" s="43"/>
    </row>
    <row r="202" spans="2:19" x14ac:dyDescent="0.2">
      <c r="B202" s="34" t="str">
        <f>'General System Parameters'!B56</f>
        <v>Straddling Loss (dB) - w/o OL</v>
      </c>
      <c r="C202" s="35">
        <f>'General System Parameters'!C56</f>
        <v>3</v>
      </c>
    </row>
    <row r="203" spans="2:19" x14ac:dyDescent="0.2">
      <c r="B203" s="34" t="str">
        <f>'General System Parameters'!B57</f>
        <v>Straddling Loss (dB) - with 50% OL</v>
      </c>
      <c r="C203" s="35">
        <f>'General System Parameters'!C57</f>
        <v>1.25</v>
      </c>
    </row>
    <row r="204" spans="2:19" x14ac:dyDescent="0.2">
      <c r="B204" s="30" t="str">
        <f>'General System Parameters'!B58</f>
        <v>Freq Desynchronization factor (ppb)</v>
      </c>
      <c r="C204" s="31">
        <f>'General System Parameters'!C58</f>
        <v>5</v>
      </c>
    </row>
    <row r="205" spans="2:19" x14ac:dyDescent="0.2">
      <c r="B205" s="34" t="str">
        <f>'General System Parameters'!B59</f>
        <v>Freq Desynchronization factor (Hz)</v>
      </c>
      <c r="C205" s="35">
        <f>'General System Parameters'!C59</f>
        <v>17.5</v>
      </c>
    </row>
    <row r="206" spans="2:19" x14ac:dyDescent="0.2">
      <c r="B206" s="34" t="str">
        <f>'General System Parameters'!B60</f>
        <v>Freq Desynchronization factor (m/s)</v>
      </c>
      <c r="C206" s="35">
        <f>'General System Parameters'!C60</f>
        <v>0.74948114500000007</v>
      </c>
    </row>
    <row r="207" spans="2:19" x14ac:dyDescent="0.2">
      <c r="B207" s="30" t="str">
        <f>'General System Parameters'!B61</f>
        <v>Time Desynchronization factor (ppm)</v>
      </c>
      <c r="C207" s="31">
        <f>'General System Parameters'!C61</f>
        <v>0.2</v>
      </c>
    </row>
    <row r="208" spans="2:19" x14ac:dyDescent="0.2">
      <c r="B208" s="30" t="str">
        <f>'General System Parameters'!B62</f>
        <v>Synchronization window per seq (μs)</v>
      </c>
      <c r="C208" s="31">
        <f>'General System Parameters'!C62</f>
        <v>0.1</v>
      </c>
    </row>
    <row r="209" spans="2:3" x14ac:dyDescent="0.2">
      <c r="B209" s="117" t="str">
        <f>'General System Parameters'!B63</f>
        <v>#RG in Optimized Mode (one side)</v>
      </c>
      <c r="C209" s="118">
        <f>'General System Parameters'!C63</f>
        <v>7</v>
      </c>
    </row>
    <row r="210" spans="2:3" x14ac:dyDescent="0.2">
      <c r="B210" s="30" t="str">
        <f>'General System Parameters'!B64</f>
        <v>Total #RG in Optimized Mode</v>
      </c>
      <c r="C210" s="31">
        <f>'General System Parameters'!C64</f>
        <v>15</v>
      </c>
    </row>
  </sheetData>
  <mergeCells count="4">
    <mergeCell ref="B150:D150"/>
    <mergeCell ref="C1:D1"/>
    <mergeCell ref="E1:T1"/>
    <mergeCell ref="B145:D145"/>
  </mergeCells>
  <conditionalFormatting sqref="C61:D61">
    <cfRule type="cellIs" dxfId="11" priority="5" operator="greaterThan">
      <formula>3</formula>
    </cfRule>
  </conditionalFormatting>
  <conditionalFormatting sqref="C49">
    <cfRule type="cellIs" dxfId="10" priority="3" operator="greaterThan">
      <formula>"2&amp;&amp;$C$57&gt;$C$58"</formula>
    </cfRule>
  </conditionalFormatting>
  <conditionalFormatting sqref="C59">
    <cfRule type="expression" dxfId="9" priority="2">
      <formula>AND(C$59 &gt; C$50, C$49&gt;1)</formula>
    </cfRule>
  </conditionalFormatting>
  <conditionalFormatting sqref="D59">
    <cfRule type="expression" dxfId="8" priority="1">
      <formula>AND(D$59 &gt; D$50, D$49&gt;1)</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Z210"/>
  <sheetViews>
    <sheetView topLeftCell="A46" zoomScaleNormal="100" workbookViewId="0">
      <selection activeCell="C59" sqref="C59:D59"/>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20" t="str">
        <f>'Parameters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'Parameters List'!B4</f>
        <v>Antenna Number (1 or 2)</v>
      </c>
      <c r="C4" s="49"/>
      <c r="D4" s="49"/>
      <c r="E4" s="50">
        <v>1</v>
      </c>
      <c r="F4" s="50">
        <v>1</v>
      </c>
      <c r="G4" s="50">
        <v>1</v>
      </c>
      <c r="H4" s="50">
        <v>1</v>
      </c>
      <c r="I4" s="50">
        <v>1</v>
      </c>
      <c r="J4" s="50">
        <v>1</v>
      </c>
      <c r="K4" s="50">
        <v>1</v>
      </c>
      <c r="L4" s="50">
        <v>1</v>
      </c>
      <c r="M4" s="50">
        <v>1</v>
      </c>
      <c r="N4" s="50">
        <v>1</v>
      </c>
      <c r="O4" s="50">
        <v>1</v>
      </c>
      <c r="P4" s="50">
        <v>1</v>
      </c>
      <c r="Q4" s="50">
        <v>1</v>
      </c>
      <c r="R4" s="50">
        <v>1</v>
      </c>
      <c r="S4" s="50">
        <v>1</v>
      </c>
      <c r="T4" s="50">
        <v>1</v>
      </c>
      <c r="U4" s="50">
        <v>1</v>
      </c>
      <c r="V4" s="50">
        <v>1</v>
      </c>
      <c r="W4" s="50">
        <v>1</v>
      </c>
      <c r="X4" s="50">
        <v>1</v>
      </c>
      <c r="Y4" s="50">
        <v>1</v>
      </c>
      <c r="Z4" s="50">
        <v>1</v>
      </c>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'Parameters List'!B5</f>
        <v>Steer Az (clockwise - positive)</v>
      </c>
      <c r="C5" s="49"/>
      <c r="D5" s="49"/>
      <c r="E5" s="50">
        <v>-37.5</v>
      </c>
      <c r="F5" s="50">
        <v>-29.5</v>
      </c>
      <c r="G5" s="50">
        <v>-21.5</v>
      </c>
      <c r="H5" s="50">
        <v>-13.5</v>
      </c>
      <c r="I5" s="50">
        <v>-5.5</v>
      </c>
      <c r="J5" s="50">
        <v>2.5</v>
      </c>
      <c r="K5" s="50">
        <v>10.5</v>
      </c>
      <c r="L5" s="50">
        <v>18.5</v>
      </c>
      <c r="M5" s="50">
        <v>26.5</v>
      </c>
      <c r="N5" s="50">
        <v>34.5</v>
      </c>
      <c r="O5" s="50">
        <v>42.5</v>
      </c>
      <c r="P5" s="50">
        <v>-42.5</v>
      </c>
      <c r="Q5" s="50">
        <v>-34.5</v>
      </c>
      <c r="R5" s="50">
        <v>-26.5</v>
      </c>
      <c r="S5" s="50">
        <v>-18.5</v>
      </c>
      <c r="T5" s="50">
        <v>-10.5</v>
      </c>
      <c r="U5" s="50">
        <v>-2.5</v>
      </c>
      <c r="V5" s="50">
        <v>5.5</v>
      </c>
      <c r="W5" s="50">
        <v>13.5</v>
      </c>
      <c r="X5" s="50">
        <v>21.5</v>
      </c>
      <c r="Y5" s="50">
        <v>29.5</v>
      </c>
      <c r="Z5" s="50">
        <v>37.5</v>
      </c>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'Parameters List'!B6</f>
        <v>Steer El (up - positive)</v>
      </c>
      <c r="C6" s="49"/>
      <c r="D6" s="49"/>
      <c r="E6" s="50">
        <v>5</v>
      </c>
      <c r="F6" s="50">
        <v>5</v>
      </c>
      <c r="G6" s="50">
        <v>5</v>
      </c>
      <c r="H6" s="50">
        <v>5</v>
      </c>
      <c r="I6" s="50">
        <v>5</v>
      </c>
      <c r="J6" s="50">
        <v>5</v>
      </c>
      <c r="K6" s="50">
        <v>5</v>
      </c>
      <c r="L6" s="50">
        <v>5</v>
      </c>
      <c r="M6" s="50">
        <v>5</v>
      </c>
      <c r="N6" s="50">
        <v>5</v>
      </c>
      <c r="O6" s="50">
        <v>5</v>
      </c>
      <c r="P6" s="50">
        <v>13</v>
      </c>
      <c r="Q6" s="50">
        <v>13</v>
      </c>
      <c r="R6" s="50">
        <v>13</v>
      </c>
      <c r="S6" s="50">
        <v>13</v>
      </c>
      <c r="T6" s="50">
        <v>13</v>
      </c>
      <c r="U6" s="50">
        <v>13</v>
      </c>
      <c r="V6" s="50">
        <v>13</v>
      </c>
      <c r="W6" s="50">
        <v>13</v>
      </c>
      <c r="X6" s="50">
        <v>13</v>
      </c>
      <c r="Y6" s="50">
        <v>13</v>
      </c>
      <c r="Z6" s="50">
        <v>13</v>
      </c>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'Parameters List'!B9</f>
        <v>Antenna Number (1 or 2)</v>
      </c>
      <c r="C9" s="49"/>
      <c r="D9" s="49"/>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'Parameters List'!B10</f>
        <v>Steer Az (clockwise - positive)</v>
      </c>
      <c r="C10" s="49"/>
      <c r="D10" s="49"/>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'Parameters List'!B11</f>
        <v>Steer El (up - positive)</v>
      </c>
      <c r="C11" s="49"/>
      <c r="D11" s="49"/>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'Parameters List'!B13</f>
        <v>Processing Channel Number (1 or 2)</v>
      </c>
      <c r="C13" s="49"/>
      <c r="D13" s="49"/>
      <c r="E13" s="33">
        <v>1</v>
      </c>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'Parameters List'!B14</f>
        <v>Beam type (relative to processing channel)</v>
      </c>
      <c r="C14" s="49"/>
      <c r="D14" s="49"/>
      <c r="E14" s="33">
        <v>1</v>
      </c>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'Parameters List'!B15</f>
        <v>Stagger number (1 or 2)</v>
      </c>
      <c r="C15" s="58"/>
      <c r="D15" s="58"/>
      <c r="E15" s="33">
        <v>1</v>
      </c>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'Parameters List'!B16</f>
        <v>Receiving Patch Group (1 or 2)</v>
      </c>
      <c r="C16" s="58"/>
      <c r="D16" s="58"/>
      <c r="E16" s="33">
        <v>1</v>
      </c>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'Parameters List'!B17</f>
        <v>Tracking (0 or 1)</v>
      </c>
      <c r="C17" s="58"/>
      <c r="D17" s="58"/>
      <c r="E17" s="33">
        <v>0</v>
      </c>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'Parameters List'!B18</f>
        <v>Stagger PRI Sequence (Chip Units)</v>
      </c>
      <c r="C18" s="58"/>
      <c r="D18" s="58"/>
      <c r="E18" s="123">
        <f t="shared" ref="E18:AJ18" si="0">IF(E$13=1, (E$14-1)*$C$31,IF(E$13=2,((E$14-1)*$D$31),""))</f>
        <v>0</v>
      </c>
      <c r="F18" s="123" t="str">
        <f t="shared" si="0"/>
        <v/>
      </c>
      <c r="G18" s="123" t="str">
        <f t="shared" si="0"/>
        <v/>
      </c>
      <c r="H18" s="123" t="str">
        <f t="shared" si="0"/>
        <v/>
      </c>
      <c r="I18" s="123" t="str">
        <f t="shared" si="0"/>
        <v/>
      </c>
      <c r="J18" s="123" t="str">
        <f t="shared" si="0"/>
        <v/>
      </c>
      <c r="K18" s="123" t="str">
        <f t="shared" si="0"/>
        <v/>
      </c>
      <c r="L18" s="123" t="str">
        <f t="shared" si="0"/>
        <v/>
      </c>
      <c r="M18" s="123" t="str">
        <f t="shared" si="0"/>
        <v/>
      </c>
      <c r="N18" s="123" t="str">
        <f t="shared" si="0"/>
        <v/>
      </c>
      <c r="O18" s="123" t="str">
        <f t="shared" si="0"/>
        <v/>
      </c>
      <c r="P18" s="123" t="str">
        <f t="shared" si="0"/>
        <v/>
      </c>
      <c r="Q18" s="123" t="str">
        <f t="shared" si="0"/>
        <v/>
      </c>
      <c r="R18" s="123" t="str">
        <f t="shared" si="0"/>
        <v/>
      </c>
      <c r="S18" s="123" t="str">
        <f t="shared" si="0"/>
        <v/>
      </c>
      <c r="T18" s="123" t="str">
        <f t="shared" si="0"/>
        <v/>
      </c>
      <c r="U18" s="123" t="str">
        <f t="shared" si="0"/>
        <v/>
      </c>
      <c r="V18" s="123" t="str">
        <f t="shared" si="0"/>
        <v/>
      </c>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CONCATENATE('XML File Parameters'!D2," XMLver",'XML File Parameters'!D3,".",'XML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'Parameters List'!B21</f>
        <v>Apply RG Optimization</v>
      </c>
      <c r="C21" s="64">
        <v>0</v>
      </c>
      <c r="D21" s="64">
        <v>0</v>
      </c>
      <c r="F21" s="43"/>
      <c r="G21" s="43"/>
      <c r="H21" s="43"/>
      <c r="I21" s="43"/>
      <c r="J21" s="43"/>
      <c r="K21" s="43"/>
      <c r="L21" s="43"/>
      <c r="M21" s="43"/>
      <c r="N21" s="43"/>
      <c r="O21" s="43"/>
      <c r="P21" s="43"/>
      <c r="Q21" s="43"/>
      <c r="R21" s="43"/>
      <c r="S21" s="43"/>
    </row>
    <row r="22" spans="1:78" x14ac:dyDescent="0.2">
      <c r="A22" s="91" t="s">
        <v>78</v>
      </c>
      <c r="B22" s="104" t="str">
        <f>'Parameters List'!B22</f>
        <v>Sequential Repetition</v>
      </c>
      <c r="C22" s="64">
        <v>22</v>
      </c>
      <c r="D22" s="64">
        <v>2</v>
      </c>
      <c r="F22" s="43"/>
      <c r="G22" s="43"/>
      <c r="H22" s="43"/>
      <c r="I22" s="43"/>
      <c r="J22" s="43"/>
      <c r="K22" s="43"/>
      <c r="L22" s="43"/>
      <c r="M22" s="43"/>
      <c r="N22" s="43"/>
      <c r="O22" s="43"/>
      <c r="P22" s="43"/>
      <c r="Q22" s="43"/>
      <c r="R22" s="43"/>
      <c r="S22" s="43"/>
    </row>
    <row r="23" spans="1:78" x14ac:dyDescent="0.2">
      <c r="A23" s="91" t="s">
        <v>78</v>
      </c>
      <c r="B23" s="104" t="str">
        <f>'Parameters List'!B23</f>
        <v>Max Dets to process</v>
      </c>
      <c r="C23" s="64">
        <v>64</v>
      </c>
      <c r="D23" s="64">
        <v>40</v>
      </c>
      <c r="E23" s="65"/>
      <c r="F23" s="43"/>
      <c r="G23" s="43"/>
      <c r="H23" s="43"/>
      <c r="I23" s="43"/>
      <c r="J23" s="43"/>
      <c r="K23" s="43"/>
      <c r="L23" s="43"/>
      <c r="M23" s="43"/>
      <c r="N23" s="43"/>
      <c r="O23" s="43"/>
      <c r="P23" s="43"/>
      <c r="Q23" s="43"/>
      <c r="R23" s="43"/>
      <c r="S23" s="43"/>
    </row>
    <row r="24" spans="1:78" x14ac:dyDescent="0.2">
      <c r="A24" s="91"/>
      <c r="B24" s="95" t="str">
        <f>'Parameters List'!B24</f>
        <v>Number of Steers</v>
      </c>
      <c r="C24" s="33">
        <f>COUNTIF(E$4:BP$4,"&gt;0")</f>
        <v>22</v>
      </c>
      <c r="D24" s="33">
        <f>COUNTIF(E$9:BP$9,"&gt;0")</f>
        <v>0</v>
      </c>
      <c r="E24" s="65"/>
      <c r="F24" s="43"/>
      <c r="G24" s="43"/>
      <c r="H24" s="43"/>
      <c r="I24" s="43"/>
      <c r="J24" s="43"/>
      <c r="K24" s="43"/>
      <c r="L24" s="43"/>
      <c r="M24" s="43"/>
      <c r="N24" s="43"/>
      <c r="O24" s="43"/>
      <c r="P24" s="43"/>
      <c r="Q24" s="43"/>
      <c r="R24" s="43"/>
      <c r="S24" s="43"/>
    </row>
    <row r="25" spans="1:78" x14ac:dyDescent="0.2">
      <c r="A25" s="91"/>
      <c r="B25" s="95" t="str">
        <f>'Parameters List'!B25</f>
        <v>Number of Beam Types</v>
      </c>
      <c r="C25" s="33">
        <f>COUNTIFS($E$13:$AJ$13,"=1",$E$15:$AJ$15,"=1")</f>
        <v>1</v>
      </c>
      <c r="D25" s="33">
        <f>COUNTIFS($E$13:$AJ$13,"=2",$E$15:$AJ$15,"=1")</f>
        <v>0</v>
      </c>
      <c r="E25" s="65"/>
      <c r="F25" s="43"/>
      <c r="G25" s="43"/>
      <c r="H25" s="43"/>
      <c r="I25" s="43"/>
      <c r="J25" s="43"/>
      <c r="K25" s="43"/>
      <c r="L25" s="43"/>
      <c r="M25" s="43"/>
      <c r="N25" s="43"/>
      <c r="O25" s="43"/>
      <c r="P25" s="43"/>
      <c r="Q25" s="43"/>
      <c r="R25" s="43"/>
      <c r="S25" s="43"/>
    </row>
    <row r="26" spans="1:78" x14ac:dyDescent="0.2">
      <c r="A26" s="91"/>
      <c r="B26" s="95" t="str">
        <f>'Parameters List'!B26</f>
        <v>Number of Beams</v>
      </c>
      <c r="C26" s="33">
        <f>COUNTIF($E$13:$AJ$13,"=1")</f>
        <v>1</v>
      </c>
      <c r="D26" s="33">
        <f>COUNTIF($E$13:$AJ$13,"=2")</f>
        <v>0</v>
      </c>
      <c r="E26" s="65"/>
      <c r="F26" s="43"/>
      <c r="G26" s="43"/>
      <c r="H26" s="43"/>
      <c r="I26" s="43"/>
      <c r="J26" s="43"/>
      <c r="K26" s="43"/>
      <c r="L26" s="43"/>
      <c r="M26" s="43"/>
      <c r="N26" s="43"/>
      <c r="O26" s="43"/>
      <c r="P26" s="43"/>
      <c r="Q26" s="43"/>
      <c r="R26" s="43"/>
      <c r="S26" s="43"/>
    </row>
    <row r="27" spans="1:78" x14ac:dyDescent="0.2">
      <c r="A27" s="91"/>
      <c r="B27" s="95" t="str">
        <f>'Parameters List'!B27</f>
        <v>Number of Beams at Antenna1</v>
      </c>
      <c r="C27" s="33">
        <f>IF(COUNTIF($E$4:$BP$4,"=1")&gt;=C$25,C$26,COUNTIF($E$4:$BP$4,"=1")*C$26/C$25)</f>
        <v>1</v>
      </c>
      <c r="D27" s="33">
        <f>IF(COUNTIF($E$9:$BP$9,"=1")&gt;=D$25,D$26,COUNTIF($E$9:$BP$9,"=1")*D$26/D$25)</f>
        <v>0</v>
      </c>
      <c r="E27" s="65"/>
      <c r="F27" s="43"/>
      <c r="G27" s="43"/>
      <c r="H27" s="43"/>
      <c r="I27" s="43"/>
      <c r="J27" s="43"/>
      <c r="K27" s="43"/>
      <c r="L27" s="43"/>
      <c r="M27" s="43"/>
      <c r="N27" s="43"/>
      <c r="O27" s="43"/>
      <c r="P27" s="43"/>
      <c r="Q27" s="43"/>
      <c r="R27" s="43"/>
      <c r="S27" s="43"/>
    </row>
    <row r="28" spans="1:78" x14ac:dyDescent="0.2">
      <c r="A28" s="91"/>
      <c r="B28" s="95" t="str">
        <f>'Parameters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'Parameters List'!B29</f>
        <v>Desired CPI (ms)</v>
      </c>
      <c r="C29" s="64">
        <v>50</v>
      </c>
      <c r="D29" s="64">
        <v>5</v>
      </c>
      <c r="G29" s="43"/>
      <c r="H29" s="43"/>
      <c r="I29" s="43"/>
      <c r="J29" s="43"/>
      <c r="K29" s="43"/>
      <c r="L29" s="43"/>
      <c r="M29" s="43"/>
      <c r="N29" s="43"/>
      <c r="O29" s="43"/>
      <c r="P29" s="43"/>
      <c r="Q29" s="43"/>
      <c r="R29" s="43"/>
      <c r="S29" s="43"/>
    </row>
    <row r="30" spans="1:78" x14ac:dyDescent="0.2">
      <c r="A30" s="91" t="s">
        <v>78</v>
      </c>
      <c r="B30" s="95" t="str">
        <f>'Parameters List'!B30</f>
        <v>Actual CPI (ms)</v>
      </c>
      <c r="C30" s="33">
        <f>(C$49*$C$104*C$51)/1000</f>
        <v>49.254400000000004</v>
      </c>
      <c r="D30" s="33">
        <f>(D$49*$C$104*D$51)/1000</f>
        <v>4.6176000000000004</v>
      </c>
      <c r="F30" s="43"/>
      <c r="G30" s="43"/>
      <c r="H30" s="43"/>
      <c r="I30" s="43"/>
      <c r="J30" s="43"/>
      <c r="K30" s="43"/>
      <c r="L30" s="43"/>
      <c r="M30" s="43"/>
      <c r="N30" s="43"/>
      <c r="O30" s="43"/>
      <c r="P30" s="43"/>
      <c r="Q30" s="43"/>
      <c r="R30" s="43"/>
      <c r="S30" s="43"/>
    </row>
    <row r="31" spans="1:78" x14ac:dyDescent="0.2">
      <c r="A31" s="91" t="s">
        <v>78</v>
      </c>
      <c r="B31" s="94" t="str">
        <f>'Parameters List'!B31</f>
        <v>Multi Stagger - PRI Ext (in Chip Units)</v>
      </c>
      <c r="C31" s="64">
        <v>0</v>
      </c>
      <c r="D31" s="64">
        <v>0</v>
      </c>
      <c r="E31" s="65"/>
      <c r="F31" s="119"/>
      <c r="G31" s="43"/>
      <c r="H31" s="43"/>
      <c r="I31" s="43"/>
      <c r="J31" s="43"/>
      <c r="K31" s="43"/>
      <c r="L31" s="43"/>
      <c r="M31" s="43"/>
      <c r="N31" s="43"/>
      <c r="O31" s="43"/>
      <c r="P31" s="43"/>
      <c r="Q31" s="43"/>
      <c r="R31" s="43"/>
      <c r="S31" s="43"/>
    </row>
    <row r="32" spans="1:78" x14ac:dyDescent="0.2">
      <c r="A32" s="91" t="s">
        <v>78</v>
      </c>
      <c r="B32" s="94" t="str">
        <f>'Parameters List'!B32</f>
        <v>Stagger1 PRI (µs)</v>
      </c>
      <c r="C32" s="64">
        <v>48</v>
      </c>
      <c r="D32" s="64">
        <v>14</v>
      </c>
      <c r="F32" s="43"/>
      <c r="G32" s="43"/>
      <c r="H32" s="43"/>
      <c r="I32" s="43"/>
      <c r="J32" s="43"/>
      <c r="K32" s="43"/>
      <c r="L32" s="43"/>
      <c r="M32" s="43"/>
      <c r="N32" s="43"/>
      <c r="O32" s="43"/>
      <c r="P32" s="43"/>
      <c r="Q32" s="43"/>
      <c r="R32" s="43"/>
      <c r="S32" s="43"/>
    </row>
    <row r="33" spans="1:19" x14ac:dyDescent="0.2">
      <c r="A33" s="91" t="s">
        <v>78</v>
      </c>
      <c r="B33" s="94" t="str">
        <f>'Parameters List'!B33</f>
        <v>Stagger2 PRI (µs)</v>
      </c>
      <c r="C33" s="64">
        <v>48</v>
      </c>
      <c r="D33" s="64">
        <v>0</v>
      </c>
      <c r="F33" s="43"/>
      <c r="G33" s="43"/>
      <c r="H33" s="43"/>
      <c r="I33" s="43"/>
      <c r="J33" s="43"/>
      <c r="K33" s="43"/>
      <c r="L33" s="43"/>
      <c r="M33" s="43"/>
      <c r="N33" s="43"/>
      <c r="O33" s="43"/>
      <c r="P33" s="43"/>
      <c r="Q33" s="43"/>
      <c r="R33" s="43"/>
      <c r="S33" s="43"/>
    </row>
    <row r="34" spans="1:19" x14ac:dyDescent="0.2">
      <c r="A34" s="91" t="s">
        <v>81</v>
      </c>
      <c r="B34" s="95" t="str">
        <f>'Parameters List'!B34</f>
        <v>Number of Staggers (1 or 2)</v>
      </c>
      <c r="C34" s="67">
        <f>1*(C$32&lt;&gt;0)+1*(C$33&lt;&gt;0)</f>
        <v>2</v>
      </c>
      <c r="D34" s="67">
        <f>1*(D$32&lt;&gt;0)+1*(D$33&lt;&gt;0)</f>
        <v>1</v>
      </c>
      <c r="F34" s="43"/>
      <c r="G34" s="43"/>
      <c r="H34" s="43"/>
      <c r="I34" s="43"/>
      <c r="J34" s="43"/>
      <c r="K34" s="43"/>
      <c r="L34" s="43"/>
      <c r="M34" s="43"/>
      <c r="N34" s="43"/>
      <c r="O34" s="43"/>
      <c r="P34" s="43"/>
      <c r="Q34" s="43"/>
      <c r="R34" s="43"/>
      <c r="S34" s="43"/>
    </row>
    <row r="35" spans="1:19" x14ac:dyDescent="0.2">
      <c r="A35" s="91"/>
      <c r="B35" s="94" t="str">
        <f>'Parameters List'!B35</f>
        <v>Stagger Loss (dB)</v>
      </c>
      <c r="C35" s="64">
        <v>0</v>
      </c>
      <c r="D35" s="64">
        <v>3.01</v>
      </c>
      <c r="F35" s="43"/>
      <c r="G35" s="43"/>
      <c r="H35" s="43"/>
      <c r="I35" s="43"/>
      <c r="J35" s="43"/>
      <c r="K35" s="43"/>
      <c r="L35" s="43"/>
      <c r="M35" s="43"/>
      <c r="N35" s="43"/>
      <c r="O35" s="43"/>
      <c r="P35" s="43"/>
      <c r="Q35" s="43"/>
      <c r="R35" s="43"/>
      <c r="S35" s="43"/>
    </row>
    <row r="36" spans="1:19" x14ac:dyDescent="0.2">
      <c r="A36" s="91" t="s">
        <v>78</v>
      </c>
      <c r="B36" s="95" t="str">
        <f>'Parameters List'!B36</f>
        <v>PW (µs)</v>
      </c>
      <c r="C36" s="33">
        <f>C$46*C$48*$C$174</f>
        <v>13</v>
      </c>
      <c r="D36" s="33">
        <f>D$46*D$48*$C$174</f>
        <v>3.9000000000000004</v>
      </c>
      <c r="F36" s="43"/>
      <c r="G36" s="43"/>
      <c r="H36" s="43"/>
      <c r="I36" s="43"/>
      <c r="J36" s="43"/>
      <c r="K36" s="43"/>
      <c r="L36" s="43"/>
      <c r="M36" s="43"/>
      <c r="N36" s="43"/>
      <c r="O36" s="43"/>
      <c r="P36" s="43"/>
      <c r="Q36" s="43"/>
      <c r="R36" s="43"/>
      <c r="S36" s="43"/>
    </row>
    <row r="37" spans="1:19" x14ac:dyDescent="0.2">
      <c r="A37" s="91" t="s">
        <v>78</v>
      </c>
      <c r="B37" s="95" t="str">
        <f>'Parameters List'!B37</f>
        <v>Actual Bandwidth (MHz)</v>
      </c>
      <c r="C37" s="33">
        <f>2*C$48/(C$36*(2*(C$48=2)+1*(C$48&lt;&gt;2)))</f>
        <v>2</v>
      </c>
      <c r="D37" s="33">
        <f>2*D$48/(D$36*(2*(D$48=2)+1*(D$48&lt;&gt;2)))</f>
        <v>6.6666666666666661</v>
      </c>
      <c r="F37" s="43"/>
      <c r="G37" s="43"/>
      <c r="H37" s="43"/>
      <c r="I37" s="43"/>
      <c r="J37" s="43"/>
      <c r="K37" s="43"/>
      <c r="L37" s="43"/>
      <c r="M37" s="43"/>
      <c r="N37" s="43"/>
      <c r="O37" s="43"/>
      <c r="P37" s="43"/>
      <c r="Q37" s="43"/>
      <c r="R37" s="43"/>
      <c r="S37" s="43"/>
    </row>
    <row r="38" spans="1:19" x14ac:dyDescent="0.2">
      <c r="A38" s="91" t="s">
        <v>81</v>
      </c>
      <c r="B38" s="95" t="str">
        <f>'Parameters List'!B38</f>
        <v>Range Resolution (m)</v>
      </c>
      <c r="C38" s="67">
        <f>$C$163*C$36 /C$48*(2*(C$48=2)+1*(C$48&lt;&gt;2))</f>
        <v>149.89622900000001</v>
      </c>
      <c r="D38" s="67">
        <f>$C$163*D$36 /D$48*(2*(D$48=2)+1*(D$48&lt;&gt;2))</f>
        <v>44.968868700000002</v>
      </c>
      <c r="F38" s="43"/>
      <c r="G38" s="43"/>
      <c r="H38" s="43"/>
      <c r="I38" s="43"/>
      <c r="J38" s="43"/>
      <c r="K38" s="43"/>
      <c r="L38" s="43"/>
      <c r="M38" s="43"/>
      <c r="N38" s="43"/>
      <c r="O38" s="43"/>
      <c r="P38" s="43"/>
      <c r="Q38" s="43"/>
      <c r="R38" s="43"/>
      <c r="S38" s="43"/>
    </row>
    <row r="39" spans="1:19" x14ac:dyDescent="0.2">
      <c r="A39" s="91" t="s">
        <v>81</v>
      </c>
      <c r="B39" s="95" t="str">
        <f>'Parameters List'!B39</f>
        <v>Range Gate Width (m)</v>
      </c>
      <c r="C39" s="67">
        <f>C$38*(1*(C$47=0)+0.5*(C$47&lt;&gt;0))</f>
        <v>74.948114500000003</v>
      </c>
      <c r="D39" s="67">
        <f>D$38*(1*(D$47=0)+0.5*(D$47&lt;&gt;0))</f>
        <v>22.484434350000001</v>
      </c>
      <c r="F39" s="43"/>
      <c r="G39" s="43"/>
      <c r="H39" s="43"/>
      <c r="I39" s="43"/>
      <c r="J39" s="43"/>
      <c r="K39" s="43"/>
      <c r="L39" s="43"/>
      <c r="M39" s="43"/>
      <c r="N39" s="43"/>
      <c r="O39" s="43"/>
      <c r="P39" s="43"/>
      <c r="Q39" s="43"/>
      <c r="R39" s="43"/>
      <c r="S39" s="43"/>
    </row>
    <row r="40" spans="1:19" x14ac:dyDescent="0.2">
      <c r="A40" s="91" t="s">
        <v>78</v>
      </c>
      <c r="B40" s="94" t="str">
        <f>'Parameters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'Parameters List'!B41</f>
        <v>Min Range Offset (m)</v>
      </c>
      <c r="C41" s="64">
        <v>0</v>
      </c>
      <c r="D41" s="64">
        <v>0</v>
      </c>
      <c r="F41" s="43"/>
      <c r="G41" s="43"/>
      <c r="H41" s="43"/>
      <c r="I41" s="43"/>
      <c r="J41" s="43"/>
      <c r="K41" s="43"/>
      <c r="L41" s="43"/>
      <c r="M41" s="43"/>
      <c r="N41" s="43"/>
      <c r="O41" s="43"/>
      <c r="P41" s="43"/>
      <c r="Q41" s="43"/>
      <c r="R41" s="43"/>
      <c r="S41" s="43"/>
    </row>
    <row r="42" spans="1:19" x14ac:dyDescent="0.2">
      <c r="A42" s="91" t="s">
        <v>78</v>
      </c>
      <c r="B42" s="94" t="str">
        <f>'Parameters List'!B42</f>
        <v>Max Range Offset (m)</v>
      </c>
      <c r="C42" s="64">
        <v>0</v>
      </c>
      <c r="D42" s="64">
        <v>0</v>
      </c>
      <c r="F42" s="43"/>
      <c r="G42" s="43"/>
      <c r="H42" s="43"/>
      <c r="I42" s="43"/>
      <c r="J42" s="43"/>
      <c r="K42" s="43"/>
      <c r="L42" s="43"/>
      <c r="M42" s="43"/>
      <c r="N42" s="43"/>
      <c r="O42" s="43"/>
      <c r="P42" s="43"/>
      <c r="Q42" s="43"/>
      <c r="R42" s="43"/>
      <c r="S42" s="43"/>
    </row>
    <row r="43" spans="1:19" x14ac:dyDescent="0.2">
      <c r="A43" s="91" t="s">
        <v>78</v>
      </c>
      <c r="B43" s="95" t="str">
        <f>'Parameters List'!B43</f>
        <v>Min Range (m)</v>
      </c>
      <c r="C43" s="67">
        <f>$C$163*C$36 + C$41</f>
        <v>1948.650977</v>
      </c>
      <c r="D43" s="67">
        <f>$C$163*D$36 + D$41</f>
        <v>584.59529310000005</v>
      </c>
      <c r="F43" s="43"/>
      <c r="G43" s="43"/>
      <c r="H43" s="43"/>
      <c r="I43" s="43"/>
      <c r="J43" s="43"/>
      <c r="K43" s="43"/>
      <c r="L43" s="43"/>
      <c r="M43" s="43"/>
      <c r="N43" s="43"/>
      <c r="O43" s="43"/>
      <c r="P43" s="43"/>
      <c r="Q43" s="43"/>
      <c r="R43" s="43"/>
      <c r="S43" s="43"/>
    </row>
    <row r="44" spans="1:19" x14ac:dyDescent="0.2">
      <c r="A44" s="91" t="s">
        <v>78</v>
      </c>
      <c r="B44" s="95" t="str">
        <f>'Parameters List'!B44</f>
        <v>Max Range (m)</v>
      </c>
      <c r="C44" s="67">
        <f>$C$163*((C$45-1)*C$46*$C$174/IF(C$48=2,IF(C$47=1,1,0.5),IF(C$47=1,2,1)))+C$43</f>
        <v>5171.4199005</v>
      </c>
      <c r="D44" s="67">
        <f>$C$163*((D$45-1)*D$46*$C$174/IF(D$48=2,IF(D$47=1,1,0.5),IF(D$47=1,2,1)))+D$43</f>
        <v>1483.9726671000001</v>
      </c>
      <c r="F44" s="43"/>
      <c r="G44" s="43"/>
      <c r="H44" s="43"/>
      <c r="I44" s="43"/>
      <c r="J44" s="43"/>
      <c r="K44" s="43"/>
      <c r="L44" s="43"/>
      <c r="M44" s="43"/>
      <c r="N44" s="43"/>
      <c r="O44" s="43"/>
      <c r="P44" s="43"/>
      <c r="Q44" s="43"/>
      <c r="R44" s="43"/>
      <c r="S44" s="43"/>
    </row>
    <row r="45" spans="1:19" x14ac:dyDescent="0.2">
      <c r="A45" s="91" t="s">
        <v>78</v>
      </c>
      <c r="B45" s="95" t="str">
        <f>'Parameters List'!B45</f>
        <v>NRG</v>
      </c>
      <c r="C45" s="33">
        <f>FLOOR((C$32-$C$161-2*C$36-(C$41+C$42)/$C$163)/(IF(C$48=2,IF(C$47=0,C$46*$C$174*2,C$46*$C$174),IF(C$47=0,C$46*$C$174,C$46*$C$174/2))),1)+1</f>
        <v>44</v>
      </c>
      <c r="D45" s="33">
        <f>FLOOR((D$32-$C$161-2*D$36-(D$41+D$42)/$C$163)/(IF(D$48=2,IF(D$47=0,D$46*$C$174*2,D$46*$C$174),IF(D$47=0,D$46*$C$174,D$46*$C$174/2))),1)+1</f>
        <v>41</v>
      </c>
      <c r="F45" s="43"/>
      <c r="G45" s="43"/>
      <c r="H45" s="43"/>
      <c r="I45" s="43"/>
      <c r="J45" s="43"/>
      <c r="K45" s="43"/>
      <c r="L45" s="43"/>
      <c r="M45" s="43"/>
      <c r="N45" s="43"/>
      <c r="O45" s="43"/>
      <c r="P45" s="43"/>
      <c r="Q45" s="43"/>
      <c r="R45" s="43"/>
      <c r="S45" s="43"/>
    </row>
    <row r="46" spans="1:19" x14ac:dyDescent="0.2">
      <c r="A46" s="91" t="s">
        <v>78</v>
      </c>
      <c r="B46" s="94" t="str">
        <f>'Parameters List'!B46</f>
        <v>TCHIP (even number)</v>
      </c>
      <c r="C46" s="64">
        <v>80</v>
      </c>
      <c r="D46" s="64">
        <v>24</v>
      </c>
      <c r="F46" s="43"/>
      <c r="G46" s="43"/>
      <c r="H46" s="43"/>
      <c r="I46" s="43"/>
      <c r="J46" s="43"/>
      <c r="K46" s="43"/>
      <c r="L46" s="43"/>
      <c r="M46" s="43"/>
      <c r="N46" s="43"/>
      <c r="O46" s="43"/>
      <c r="P46" s="43"/>
      <c r="Q46" s="43"/>
      <c r="R46" s="43"/>
      <c r="S46" s="43"/>
    </row>
    <row r="47" spans="1:19" x14ac:dyDescent="0.2">
      <c r="A47" s="91" t="s">
        <v>78</v>
      </c>
      <c r="B47" s="94" t="str">
        <f>'Parameters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'Parameters List'!B48</f>
        <v>NSERIES</v>
      </c>
      <c r="C48" s="64">
        <v>13</v>
      </c>
      <c r="D48" s="64">
        <v>13</v>
      </c>
      <c r="F48" s="43"/>
      <c r="G48" s="43"/>
      <c r="H48" s="43"/>
      <c r="I48" s="43"/>
      <c r="J48" s="43"/>
      <c r="K48" s="43"/>
      <c r="L48" s="43"/>
      <c r="M48" s="43"/>
      <c r="N48" s="43"/>
      <c r="O48" s="43"/>
      <c r="P48" s="43"/>
      <c r="Q48" s="43"/>
      <c r="R48" s="43"/>
      <c r="S48" s="43"/>
    </row>
    <row r="49" spans="1:19" x14ac:dyDescent="0.2">
      <c r="A49" s="91" t="s">
        <v>78</v>
      </c>
      <c r="B49" s="94" t="str">
        <f>'Parameters List'!B49</f>
        <v>POSTDEC</v>
      </c>
      <c r="C49" s="64">
        <v>1</v>
      </c>
      <c r="D49" s="64">
        <v>1</v>
      </c>
      <c r="F49" s="43"/>
      <c r="G49" s="43"/>
      <c r="H49" s="43"/>
      <c r="I49" s="43"/>
      <c r="J49" s="43"/>
      <c r="K49" s="43"/>
      <c r="L49" s="43"/>
      <c r="M49" s="43"/>
      <c r="N49" s="43"/>
      <c r="O49" s="43"/>
      <c r="P49" s="43"/>
      <c r="Q49" s="43"/>
      <c r="R49" s="43"/>
      <c r="S49" s="43"/>
    </row>
    <row r="50" spans="1:19" x14ac:dyDescent="0.2">
      <c r="A50" s="91"/>
      <c r="B50" s="80" t="str">
        <f>'Parameters List'!B50</f>
        <v>Max Abs Velocity Meas (m/s)</v>
      </c>
      <c r="C50" s="70">
        <f>1000000/($C$168*2*$C$104*C$49)</f>
        <v>445.19224532224536</v>
      </c>
      <c r="D50" s="70">
        <f>1000000/($C$168*2*$C$104*D$49)</f>
        <v>445.19224532224536</v>
      </c>
      <c r="F50" s="43"/>
      <c r="G50" s="43"/>
      <c r="H50" s="43"/>
      <c r="I50" s="43"/>
      <c r="J50" s="43"/>
      <c r="K50" s="43"/>
      <c r="L50" s="43"/>
      <c r="M50" s="43"/>
      <c r="N50" s="43"/>
      <c r="O50" s="43"/>
      <c r="P50" s="43"/>
      <c r="Q50" s="43"/>
      <c r="R50" s="43"/>
      <c r="S50" s="43"/>
    </row>
    <row r="51" spans="1:19" x14ac:dyDescent="0.2">
      <c r="A51" s="91" t="s">
        <v>78</v>
      </c>
      <c r="B51" s="95" t="str">
        <f>'Parameters List'!B51</f>
        <v>Npoints (up to FFT length)</v>
      </c>
      <c r="C51" s="33">
        <f>FLOOR((1000*C$29/$C$104/C$49),16)</f>
        <v>1024</v>
      </c>
      <c r="D51" s="33">
        <f>FLOOR((1000*D$29/$C$104/D$49),16)</f>
        <v>96</v>
      </c>
      <c r="F51" s="43"/>
      <c r="G51" s="43"/>
      <c r="H51" s="43"/>
      <c r="I51" s="43"/>
      <c r="J51" s="43"/>
      <c r="K51" s="43"/>
      <c r="L51" s="43"/>
      <c r="M51" s="43"/>
      <c r="N51" s="43"/>
      <c r="O51" s="43"/>
      <c r="P51" s="43"/>
      <c r="Q51" s="43"/>
      <c r="R51" s="43"/>
      <c r="S51" s="43"/>
    </row>
    <row r="52" spans="1:19" x14ac:dyDescent="0.2">
      <c r="A52" s="91" t="s">
        <v>78</v>
      </c>
      <c r="B52" s="95" t="str">
        <f>'Parameters List'!B52</f>
        <v>FFT length (limited to 8192)</v>
      </c>
      <c r="C52" s="33">
        <f>2^CEILING(LOG10(C51)/LOG10(2),1)</f>
        <v>1024</v>
      </c>
      <c r="D52" s="33">
        <f>2^CEILING(LOG10(D51)/LOG10(2),1)</f>
        <v>128</v>
      </c>
      <c r="F52" s="43"/>
      <c r="G52" s="43"/>
      <c r="H52" s="43"/>
      <c r="I52" s="43"/>
      <c r="J52" s="43"/>
      <c r="K52" s="43"/>
      <c r="L52" s="43"/>
      <c r="M52" s="43"/>
      <c r="N52" s="43"/>
      <c r="O52" s="43"/>
      <c r="P52" s="43"/>
      <c r="Q52" s="43"/>
      <c r="R52" s="43"/>
      <c r="S52" s="43"/>
    </row>
    <row r="53" spans="1:19" x14ac:dyDescent="0.2">
      <c r="A53" s="91"/>
      <c r="B53" s="95" t="str">
        <f>'Parameters List'!B53</f>
        <v>NCRG(per rcvr,limited to 512)</v>
      </c>
      <c r="C53" s="67">
        <f>C$45*C$26</f>
        <v>44</v>
      </c>
      <c r="D53" s="67">
        <f>D$45*D$26</f>
        <v>0</v>
      </c>
      <c r="F53" s="43"/>
      <c r="G53" s="43"/>
      <c r="H53" s="43"/>
      <c r="I53" s="43"/>
      <c r="J53" s="43"/>
      <c r="K53" s="43"/>
      <c r="L53" s="43"/>
      <c r="M53" s="43"/>
      <c r="N53" s="43"/>
      <c r="O53" s="43"/>
      <c r="P53" s="43"/>
      <c r="Q53" s="43"/>
      <c r="R53" s="43"/>
      <c r="S53" s="43"/>
    </row>
    <row r="54" spans="1:19" x14ac:dyDescent="0.2">
      <c r="A54" s="91"/>
      <c r="B54" s="95" t="str">
        <f>'Parameters List'!B54</f>
        <v>NCRG(all rcvrs)</v>
      </c>
      <c r="C54" s="67">
        <f>C$53*$C$155</f>
        <v>220</v>
      </c>
      <c r="D54" s="67">
        <f>D$53*$C$155</f>
        <v>0</v>
      </c>
      <c r="F54" s="43"/>
      <c r="G54" s="43"/>
      <c r="H54" s="43"/>
      <c r="I54" s="43"/>
      <c r="J54" s="43"/>
      <c r="K54" s="43"/>
      <c r="L54" s="43"/>
      <c r="M54" s="43"/>
      <c r="N54" s="43"/>
      <c r="O54" s="43"/>
      <c r="P54" s="43"/>
      <c r="Q54" s="43"/>
      <c r="R54" s="43"/>
      <c r="S54" s="43"/>
    </row>
    <row r="55" spans="1:19" x14ac:dyDescent="0.2">
      <c r="A55" s="91"/>
      <c r="B55" s="95" t="str">
        <f>'Parameters List'!B55</f>
        <v>TCHIP (m)</v>
      </c>
      <c r="C55" s="67">
        <f>C46*$C$163*$C$174</f>
        <v>149.89622900000001</v>
      </c>
      <c r="D55" s="67">
        <f>D46*$C$163*$C$174</f>
        <v>44.968868700000002</v>
      </c>
      <c r="F55" s="43"/>
      <c r="G55" s="43"/>
      <c r="H55" s="43"/>
      <c r="I55" s="43"/>
      <c r="J55" s="43"/>
      <c r="K55" s="43"/>
      <c r="L55" s="43"/>
      <c r="M55" s="43"/>
      <c r="N55" s="43"/>
      <c r="O55" s="43"/>
      <c r="P55" s="43"/>
      <c r="Q55" s="43"/>
      <c r="R55" s="43"/>
      <c r="S55" s="43"/>
    </row>
    <row r="56" spans="1:19" x14ac:dyDescent="0.2">
      <c r="A56" s="91"/>
      <c r="B56" s="94" t="str">
        <f>'Parameters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'Parameters List'!B57</f>
        <v>Clutter Margin (m/s)</v>
      </c>
      <c r="C57" s="67">
        <f>IF($C$206+C$56&gt;0,$C$206+C$56+C$67*C$65*1,0)</f>
        <v>4.2275455615800421</v>
      </c>
      <c r="D57" s="67">
        <f>IF($C$206+D$56&gt;0,$C$206+D$56+D$67*D$65*1,0)</f>
        <v>35.530125310800415</v>
      </c>
      <c r="F57" s="43"/>
      <c r="G57" s="43"/>
      <c r="H57" s="43"/>
      <c r="I57" s="43"/>
      <c r="J57" s="43"/>
      <c r="K57" s="43"/>
      <c r="L57" s="43"/>
      <c r="M57" s="43"/>
      <c r="N57" s="43"/>
      <c r="O57" s="43"/>
      <c r="P57" s="43"/>
      <c r="Q57" s="43"/>
      <c r="R57" s="43"/>
      <c r="S57" s="43"/>
    </row>
    <row r="58" spans="1:19" x14ac:dyDescent="0.2">
      <c r="A58" s="91" t="s">
        <v>78</v>
      </c>
      <c r="B58" s="94" t="str">
        <f>'Parameters List'!B58</f>
        <v>Min Velocity (m/s)</v>
      </c>
      <c r="C58" s="64">
        <v>0</v>
      </c>
      <c r="D58" s="64">
        <v>0</v>
      </c>
      <c r="F58" s="43"/>
      <c r="G58" s="43"/>
      <c r="H58" s="43"/>
      <c r="I58" s="43"/>
      <c r="J58" s="43"/>
      <c r="K58" s="43"/>
      <c r="L58" s="43"/>
      <c r="M58" s="43"/>
      <c r="N58" s="43"/>
      <c r="O58" s="43"/>
      <c r="P58" s="43"/>
      <c r="Q58" s="43"/>
      <c r="R58" s="43"/>
      <c r="S58" s="43"/>
    </row>
    <row r="59" spans="1:19" x14ac:dyDescent="0.2">
      <c r="A59" s="91" t="s">
        <v>81</v>
      </c>
      <c r="B59" s="94" t="str">
        <f>'Parameters List'!B59</f>
        <v>Max Velocity (m/s)</v>
      </c>
      <c r="C59" s="64">
        <v>20</v>
      </c>
      <c r="D59" s="64">
        <v>20</v>
      </c>
      <c r="F59" s="43"/>
      <c r="G59" s="43"/>
      <c r="H59" s="43"/>
      <c r="I59" s="43"/>
      <c r="J59" s="43"/>
      <c r="K59" s="43"/>
      <c r="L59" s="43"/>
      <c r="M59" s="43"/>
      <c r="N59" s="43"/>
      <c r="O59" s="43"/>
      <c r="P59" s="43"/>
      <c r="Q59" s="43"/>
      <c r="R59" s="43"/>
      <c r="S59" s="43"/>
    </row>
    <row r="60" spans="1:19" x14ac:dyDescent="0.2">
      <c r="A60" s="91"/>
      <c r="B60" s="68" t="str">
        <f>'Parameters List'!B60</f>
        <v>Loss Velocity (m/s)</v>
      </c>
      <c r="C60" s="67">
        <f>C$38*1000/C$30</f>
        <v>3043.3063645075358</v>
      </c>
      <c r="D60" s="67">
        <f>D$38*1000/D$30</f>
        <v>9738.5803664241157</v>
      </c>
      <c r="F60" s="43"/>
      <c r="G60" s="43"/>
      <c r="H60" s="43"/>
      <c r="I60" s="43"/>
      <c r="J60" s="43"/>
      <c r="K60" s="43"/>
      <c r="L60" s="43"/>
      <c r="M60" s="43"/>
      <c r="N60" s="43"/>
      <c r="O60" s="43"/>
      <c r="P60" s="43"/>
      <c r="Q60" s="43"/>
      <c r="R60" s="43"/>
      <c r="S60" s="43"/>
    </row>
    <row r="61" spans="1:19" x14ac:dyDescent="0.2">
      <c r="A61" s="92"/>
      <c r="B61" s="68" t="str">
        <f>'Parameters List'!B61</f>
        <v>Velocity Loss (dB)</v>
      </c>
      <c r="C61" s="67">
        <f>IF(C$59&lt;C$60, 0, IF(C$47=1, IF(C$59&lt;2*C$60, (C$59 / C$60)*0.5*$C$203, 10), IF(C$47=0, IF(C$59&lt;2*C$60, (C$59 / C$60)*$C$202-$C$202/2, 10), 10)))+(-20*LOG10(ABS(SIN(PI()*C$59*$C$168*C$36*10^-6)/(PI()*C$59*$C$168*C$36*10^-6))))</f>
        <v>5.2658615684240766E-4</v>
      </c>
      <c r="D61" s="67">
        <f>IF(D$59&lt;D$60, 0, IF(D$47=1, IF(D$59&lt;2*D$60, (D$59 / D$60)*0.5*$C$203, 10), IF(D$47=0, IF(D$59&lt;2*D$60, (D$59 / D$60)*$C$202-$C$202/2, 10), 10)))+(-20*LOG10(ABS(SIN(PI()*D$59*$C$168*D$36*10^-6)/(PI()*D$59*$C$168*D$36*10^-6))))</f>
        <v>4.7392231192217846E-5</v>
      </c>
    </row>
    <row r="62" spans="1:19" x14ac:dyDescent="0.2">
      <c r="A62" s="92"/>
      <c r="B62" s="71" t="str">
        <f>'Parameters List'!B62</f>
        <v>Max Acceleration (m/s2)</v>
      </c>
      <c r="C62" s="64">
        <v>0</v>
      </c>
      <c r="D62" s="64">
        <v>0</v>
      </c>
    </row>
    <row r="63" spans="1:19" x14ac:dyDescent="0.2">
      <c r="A63" s="91"/>
      <c r="B63" s="68" t="str">
        <f>'Parameters List'!B63</f>
        <v>Loss Acceleration (m/s2)</v>
      </c>
      <c r="C63" s="67">
        <f>C$65*1000/C$30*$C$196</f>
        <v>33.54178708654495</v>
      </c>
      <c r="D63" s="67">
        <f>D$65*1000/D$30*$C$196</f>
        <v>2862.2324980518356</v>
      </c>
      <c r="F63" s="43"/>
      <c r="G63" s="43"/>
      <c r="H63" s="43"/>
      <c r="I63" s="43"/>
      <c r="J63" s="43"/>
      <c r="K63" s="43"/>
      <c r="L63" s="43"/>
      <c r="M63" s="43"/>
      <c r="N63" s="43"/>
      <c r="O63" s="43"/>
      <c r="P63" s="43"/>
      <c r="Q63" s="43"/>
      <c r="R63" s="43"/>
      <c r="S63" s="43"/>
    </row>
    <row r="64" spans="1:19" x14ac:dyDescent="0.2">
      <c r="A64" s="92"/>
      <c r="B64" s="68" t="str">
        <f>'Parameters List'!B64</f>
        <v>Acceleration Loss (dB)</v>
      </c>
      <c r="C64" s="67">
        <f>IF( C$62 &gt;= C$63, C$62 / C$63 * $C$198, 0)</f>
        <v>0</v>
      </c>
      <c r="D64" s="67">
        <f>IF( D$62 &gt;= D$63, D$62 / D$63 * $C$198, 0)</f>
        <v>0</v>
      </c>
    </row>
    <row r="65" spans="1:19" x14ac:dyDescent="0.2">
      <c r="A65" s="91" t="s">
        <v>81</v>
      </c>
      <c r="B65" s="80" t="str">
        <f>'Parameters List'!B65</f>
        <v>fft2doppler (m/s per FFT bin)</v>
      </c>
      <c r="C65" s="70">
        <f>$C$106*1000/C$49/C$52/$C$168</f>
        <v>0.86951610414501046</v>
      </c>
      <c r="D65" s="70">
        <f>$C$106*1000/D$49/D$52/$C$168</f>
        <v>6.9561288331600837</v>
      </c>
      <c r="F65" s="43"/>
      <c r="G65" s="43"/>
      <c r="H65" s="43"/>
      <c r="I65" s="43"/>
      <c r="J65" s="43"/>
      <c r="K65" s="43"/>
      <c r="L65" s="43"/>
      <c r="M65" s="43"/>
      <c r="N65" s="43"/>
      <c r="O65" s="43"/>
      <c r="P65" s="43"/>
      <c r="Q65" s="43"/>
      <c r="R65" s="43"/>
      <c r="S65" s="43"/>
    </row>
    <row r="66" spans="1:19" x14ac:dyDescent="0.2">
      <c r="A66" s="91"/>
      <c r="B66" s="80" t="str">
        <f>'Parameters List'!B66</f>
        <v>Optimal Peak2Peak Seperation (m/s)</v>
      </c>
      <c r="C66" s="70">
        <f>(C$67+C$68+(C$67+1))*C$65</f>
        <v>18.259838187045219</v>
      </c>
      <c r="D66" s="70">
        <f>(D$67+D$68+(D$67+1))*D$65</f>
        <v>187.81547849532225</v>
      </c>
      <c r="F66" s="43"/>
      <c r="G66" s="43"/>
      <c r="H66" s="43"/>
      <c r="I66" s="43"/>
      <c r="J66" s="43"/>
      <c r="K66" s="43"/>
      <c r="L66" s="43"/>
      <c r="M66" s="43"/>
      <c r="N66" s="43"/>
      <c r="O66" s="43"/>
      <c r="P66" s="43"/>
      <c r="Q66" s="43"/>
      <c r="R66" s="43"/>
      <c r="S66" s="43"/>
    </row>
    <row r="67" spans="1:19" x14ac:dyDescent="0.2">
      <c r="A67" s="91"/>
      <c r="B67" s="95" t="str">
        <f>'Parameters List'!B67</f>
        <v># FFT bins of peak spreading (one side)</v>
      </c>
      <c r="C67" s="67">
        <f>ROUND((($C$200-1) / 2) * (C$52 / C$51) + (C$62*C$30/1000)/C$65,0)</f>
        <v>4</v>
      </c>
      <c r="D67" s="67">
        <f>ROUND((($C$200-1) / 2) * (D$52 / D$51) + (D$62*D$30/1000)/D$65,0)</f>
        <v>5</v>
      </c>
      <c r="F67" s="43"/>
      <c r="G67" s="43"/>
      <c r="H67" s="43"/>
      <c r="I67" s="43"/>
      <c r="J67" s="43"/>
      <c r="K67" s="43"/>
      <c r="L67" s="43"/>
      <c r="M67" s="43"/>
      <c r="N67" s="43"/>
      <c r="O67" s="43"/>
      <c r="P67" s="43"/>
      <c r="Q67" s="43"/>
      <c r="R67" s="43"/>
      <c r="S67" s="43"/>
    </row>
    <row r="68" spans="1:19" x14ac:dyDescent="0.2">
      <c r="A68" s="91"/>
      <c r="B68" s="95" t="str">
        <f>'Parameters List'!B68</f>
        <v># FFT bins for noise estimation (one side)</v>
      </c>
      <c r="C68" s="67">
        <f>ROUND((($C$201-1)/2*$C$197/$C$199)*(C$52/C$51),0)</f>
        <v>12</v>
      </c>
      <c r="D68" s="67">
        <f>ROUND((($C$201-1)/2*$C$197/$C$199)*(D$52/D$51),0)</f>
        <v>16</v>
      </c>
      <c r="F68" s="43"/>
      <c r="G68" s="43"/>
      <c r="H68" s="43"/>
      <c r="I68" s="43"/>
      <c r="J68" s="43"/>
      <c r="K68" s="43"/>
      <c r="L68" s="43"/>
      <c r="M68" s="43"/>
      <c r="N68" s="43"/>
      <c r="O68" s="43"/>
      <c r="P68" s="43"/>
      <c r="Q68" s="43"/>
      <c r="R68" s="43"/>
      <c r="S68" s="43"/>
    </row>
    <row r="69" spans="1:19" x14ac:dyDescent="0.2">
      <c r="A69" s="91"/>
      <c r="B69" s="95" t="str">
        <f>'Parameters List'!B69</f>
        <v># FFT bins of clutter margin (one side)</v>
      </c>
      <c r="C69" s="67">
        <f>C$57/C$65</f>
        <v>4.8619520000000005</v>
      </c>
      <c r="D69" s="67">
        <f>D$57/D$65</f>
        <v>5.1077439999999994</v>
      </c>
      <c r="F69" s="43"/>
      <c r="G69" s="43"/>
      <c r="H69" s="43"/>
      <c r="I69" s="43"/>
      <c r="J69" s="43"/>
      <c r="K69" s="43"/>
      <c r="L69" s="43"/>
      <c r="M69" s="43"/>
      <c r="N69" s="43"/>
      <c r="O69" s="43"/>
      <c r="P69" s="43"/>
      <c r="Q69" s="43"/>
      <c r="R69" s="43"/>
      <c r="S69" s="43"/>
    </row>
    <row r="70" spans="1:19" x14ac:dyDescent="0.2">
      <c r="A70" s="91"/>
      <c r="B70" s="95" t="str">
        <f>'Parameters List'!B70</f>
        <v># FFT bins to min velocity</v>
      </c>
      <c r="C70" s="67">
        <f>FLOOR(C$58/C$65,1)</f>
        <v>0</v>
      </c>
      <c r="D70" s="67">
        <f>FLOOR(D$58/D$65,1)</f>
        <v>0</v>
      </c>
      <c r="F70" s="43"/>
      <c r="G70" s="43"/>
      <c r="H70" s="43"/>
      <c r="I70" s="43"/>
      <c r="J70" s="43"/>
      <c r="K70" s="43"/>
      <c r="L70" s="43"/>
      <c r="M70" s="43"/>
      <c r="N70" s="43"/>
      <c r="O70" s="43"/>
      <c r="P70" s="43"/>
      <c r="Q70" s="43"/>
      <c r="R70" s="43"/>
      <c r="S70" s="43"/>
    </row>
    <row r="71" spans="1:19" x14ac:dyDescent="0.2">
      <c r="A71" s="91"/>
      <c r="B71" s="95" t="str">
        <f>'Parameters List'!B71</f>
        <v># FFT bins to max velocity</v>
      </c>
      <c r="C71" s="67">
        <f>CEILING(C$59/C$65,1)</f>
        <v>24</v>
      </c>
      <c r="D71" s="67">
        <f>CEILING(D$59/D$65,1)</f>
        <v>3</v>
      </c>
      <c r="F71" s="43"/>
      <c r="G71" s="43"/>
      <c r="H71" s="43"/>
      <c r="I71" s="43"/>
      <c r="J71" s="43"/>
      <c r="K71" s="43"/>
      <c r="L71" s="43"/>
      <c r="M71" s="43"/>
      <c r="N71" s="43"/>
      <c r="O71" s="43"/>
      <c r="P71" s="43"/>
      <c r="Q71" s="43"/>
      <c r="R71" s="43"/>
      <c r="S71" s="43"/>
    </row>
    <row r="72" spans="1:19" x14ac:dyDescent="0.2">
      <c r="A72" s="91" t="s">
        <v>81</v>
      </c>
      <c r="B72" s="95" t="str">
        <f>'Parameters List'!B72</f>
        <v>Noise Mask (example: '-13,-4,4,13)</v>
      </c>
      <c r="C72" s="67" t="str">
        <f>CONCATENATE(TEXT(-C$68-C$67,"0"),",",TEXT(-C$67-1,"0"),",",TEXT(C$67+1,"0"),",",TEXT(C$68+C$67,"0"))</f>
        <v>-16,-5,5,16</v>
      </c>
      <c r="D72" s="67" t="str">
        <f>CONCATENATE(TEXT(-D$68-D$67,"0"),",",TEXT(-D$67-1,"0"),",",TEXT(D$67+1,"0"),",",TEXT(D$68+D$67,"0"))</f>
        <v>-21,-6,6,21</v>
      </c>
      <c r="F72" s="43"/>
      <c r="G72" s="43"/>
      <c r="H72" s="43"/>
      <c r="I72" s="43"/>
      <c r="J72" s="43"/>
      <c r="K72" s="43"/>
      <c r="L72" s="43"/>
      <c r="M72" s="43"/>
      <c r="N72" s="43"/>
      <c r="O72" s="43"/>
      <c r="P72" s="43"/>
      <c r="Q72" s="43"/>
      <c r="R72" s="43"/>
      <c r="S72" s="43"/>
    </row>
    <row r="73" spans="1:19" x14ac:dyDescent="0.2">
      <c r="A73" s="91" t="s">
        <v>81</v>
      </c>
      <c r="B73" s="94" t="str">
        <f>'Parameters List'!B73</f>
        <v>Options (see Options List sheet)</v>
      </c>
      <c r="C73" s="101" t="s">
        <v>86</v>
      </c>
      <c r="D73" s="101" t="s">
        <v>86</v>
      </c>
      <c r="F73" s="43"/>
      <c r="G73" s="43"/>
      <c r="H73" s="43"/>
      <c r="I73" s="43"/>
      <c r="J73" s="43"/>
      <c r="K73" s="43"/>
      <c r="L73" s="43"/>
      <c r="M73" s="43"/>
      <c r="N73" s="43"/>
      <c r="O73" s="43"/>
      <c r="P73" s="43"/>
      <c r="Q73" s="43"/>
      <c r="R73" s="43"/>
      <c r="S73" s="43"/>
    </row>
    <row r="74" spans="1:19" x14ac:dyDescent="0.2">
      <c r="A74" s="91" t="s">
        <v>81</v>
      </c>
      <c r="B74" s="94" t="str">
        <f>'Parameters List'!B74</f>
        <v>SNR Threshold (dB)</v>
      </c>
      <c r="C74" s="73">
        <v>12</v>
      </c>
      <c r="D74" s="73">
        <v>14</v>
      </c>
      <c r="F74" s="43"/>
      <c r="G74" s="43"/>
      <c r="H74" s="43"/>
      <c r="I74" s="43"/>
      <c r="J74" s="43"/>
      <c r="K74" s="43"/>
      <c r="L74" s="43"/>
      <c r="M74" s="43"/>
      <c r="N74" s="43"/>
      <c r="O74" s="43"/>
      <c r="P74" s="43"/>
      <c r="Q74" s="43"/>
      <c r="R74" s="43"/>
      <c r="S74" s="43"/>
    </row>
    <row r="75" spans="1:19" x14ac:dyDescent="0.2">
      <c r="A75" s="91"/>
      <c r="B75" s="80" t="str">
        <f>'Parameters List'!B75</f>
        <v>Probability of False Alarm</v>
      </c>
      <c r="C75" s="70">
        <f>pf_PD_PFA_CFAR("pfa", C$74, C$120, C$121, C$68*2, 1)</f>
        <v>5.1888289024436828E-6</v>
      </c>
      <c r="D75" s="70">
        <f>pf_PD_PFA_CFAR("pfa", D$74, D$120, D$121, D$68*2, 1)</f>
        <v>8.8685631549264631E-9</v>
      </c>
      <c r="F75" s="43"/>
      <c r="G75" s="43"/>
      <c r="H75" s="43"/>
      <c r="I75" s="43"/>
      <c r="J75" s="43"/>
      <c r="K75" s="43"/>
      <c r="L75" s="43"/>
      <c r="M75" s="43"/>
      <c r="N75" s="43"/>
      <c r="O75" s="43"/>
      <c r="P75" s="43"/>
      <c r="Q75" s="43"/>
      <c r="R75" s="43"/>
      <c r="S75" s="43"/>
    </row>
    <row r="76" spans="1:19" x14ac:dyDescent="0.2">
      <c r="A76" s="91"/>
      <c r="B76" s="80" t="str">
        <f>'Parameters List'!B76</f>
        <v>Probability of False Alarm per CPI</v>
      </c>
      <c r="C76" s="70">
        <f>C$75*C$52*C$53</f>
        <v>0.23378787502850257</v>
      </c>
      <c r="D76" s="70">
        <f>D$75*D$52*D$53</f>
        <v>0</v>
      </c>
      <c r="F76" s="43"/>
      <c r="G76" s="43"/>
      <c r="H76" s="43"/>
      <c r="I76" s="43"/>
      <c r="J76" s="43"/>
      <c r="K76" s="43"/>
      <c r="L76" s="43"/>
      <c r="M76" s="43"/>
      <c r="N76" s="43"/>
      <c r="O76" s="43"/>
      <c r="P76" s="43"/>
      <c r="Q76" s="43"/>
      <c r="R76" s="43"/>
      <c r="S76" s="43"/>
    </row>
    <row r="77" spans="1:19" x14ac:dyDescent="0.2">
      <c r="A77" s="91"/>
      <c r="B77" s="80" t="str">
        <f>'Parameters List'!B77</f>
        <v>Probability of False Alarm per SEC</v>
      </c>
      <c r="C77" s="70">
        <f>C$76/(C$30/1000)</f>
        <v>4.7465378733372559</v>
      </c>
      <c r="D77" s="70">
        <f>D$76/(D$30/1000)</f>
        <v>0</v>
      </c>
      <c r="F77" s="43"/>
      <c r="G77" s="43"/>
      <c r="H77" s="43"/>
      <c r="I77" s="43"/>
      <c r="J77" s="43"/>
      <c r="K77" s="43"/>
      <c r="L77" s="43"/>
      <c r="M77" s="43"/>
      <c r="N77" s="43"/>
      <c r="O77" s="43"/>
      <c r="P77" s="43"/>
      <c r="Q77" s="43"/>
      <c r="R77" s="43"/>
      <c r="S77" s="43"/>
    </row>
    <row r="78" spans="1:19" x14ac:dyDescent="0.2">
      <c r="A78" s="91"/>
      <c r="B78" s="94" t="str">
        <f>'Parameters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'Parameters List'!B79</f>
        <v>STC Init Range (m)</v>
      </c>
      <c r="C79" s="70">
        <f>10^((40*LOG10(C$44)-(C$78-C$99)) / 40)</f>
        <v>1763.6940283606734</v>
      </c>
      <c r="D79" s="70">
        <f>10^((40*LOG10(D$44)-(D$78-D$99)) / 40)</f>
        <v>1080.0674008069891</v>
      </c>
      <c r="F79" s="43"/>
      <c r="G79" s="43"/>
      <c r="H79" s="43"/>
      <c r="I79" s="43"/>
      <c r="J79" s="43"/>
      <c r="K79" s="43"/>
      <c r="L79" s="43"/>
      <c r="M79" s="43"/>
      <c r="N79" s="43"/>
      <c r="O79" s="43"/>
      <c r="P79" s="43"/>
      <c r="Q79" s="43"/>
      <c r="R79" s="43"/>
      <c r="S79" s="43"/>
    </row>
    <row r="80" spans="1:19" x14ac:dyDescent="0.2">
      <c r="A80" s="91"/>
      <c r="B80" s="94" t="str">
        <f>'Parameters List'!B80</f>
        <v>Tapered Array (0/1)</v>
      </c>
      <c r="C80" s="101">
        <v>0</v>
      </c>
      <c r="D80" s="101">
        <v>0</v>
      </c>
      <c r="F80" s="43"/>
      <c r="G80" s="43"/>
      <c r="H80" s="43"/>
      <c r="I80" s="43"/>
      <c r="J80" s="43"/>
      <c r="K80" s="43"/>
      <c r="L80" s="43"/>
      <c r="M80" s="43"/>
      <c r="N80" s="43"/>
      <c r="O80" s="43"/>
      <c r="P80" s="43"/>
      <c r="Q80" s="43"/>
      <c r="R80" s="43"/>
      <c r="S80" s="43"/>
    </row>
    <row r="81" spans="1:19" x14ac:dyDescent="0.2">
      <c r="A81" s="91"/>
      <c r="B81" s="94" t="str">
        <f>'Parameters List'!B81</f>
        <v>AGC Set (1-6)</v>
      </c>
      <c r="C81" s="101">
        <v>1</v>
      </c>
      <c r="D81" s="101">
        <v>1</v>
      </c>
      <c r="F81" s="43"/>
      <c r="G81" s="43"/>
      <c r="H81" s="43"/>
      <c r="I81" s="43"/>
      <c r="J81" s="43"/>
      <c r="K81" s="43"/>
      <c r="L81" s="43"/>
      <c r="M81" s="43"/>
      <c r="N81" s="43"/>
      <c r="O81" s="43"/>
      <c r="P81" s="43"/>
      <c r="Q81" s="43"/>
      <c r="R81" s="43"/>
      <c r="S81" s="43"/>
    </row>
    <row r="82" spans="1:19" x14ac:dyDescent="0.2">
      <c r="A82" s="91"/>
      <c r="B82" s="95" t="str">
        <f>'Parameters List'!B82</f>
        <v>RF AGC (dB) - 1st Rx</v>
      </c>
      <c r="C82" s="67">
        <f>VLOOKUP(C$81,'AGC Set Table'!$A$3:$K$9,2,FALSE)</f>
        <v>0</v>
      </c>
      <c r="D82" s="67">
        <f>VLOOKUP(D$81,'AGC Set Table'!$A$3:$K$9,2,FALSE)</f>
        <v>0</v>
      </c>
      <c r="F82" s="43"/>
      <c r="G82" s="43"/>
      <c r="H82" s="43"/>
      <c r="I82" s="43"/>
      <c r="J82" s="43"/>
      <c r="K82" s="43"/>
      <c r="L82" s="43"/>
      <c r="M82" s="43"/>
      <c r="N82" s="43"/>
      <c r="O82" s="43"/>
      <c r="P82" s="43"/>
      <c r="Q82" s="43"/>
      <c r="R82" s="43"/>
      <c r="S82" s="43"/>
    </row>
    <row r="83" spans="1:19" x14ac:dyDescent="0.2">
      <c r="A83" s="91"/>
      <c r="B83" s="95" t="str">
        <f>'Parameters List'!B83</f>
        <v>IF AGC (dB) - 1st Rx</v>
      </c>
      <c r="C83" s="67">
        <f>VLOOKUP(C$81,'AGC Set Table'!$A$3:$K$9,3,FALSE)</f>
        <v>15</v>
      </c>
      <c r="D83" s="67">
        <f>VLOOKUP(D$81,'AGC Set Table'!$A$3:$K$9,3,FALSE)</f>
        <v>15</v>
      </c>
      <c r="F83" s="43"/>
      <c r="G83" s="43"/>
      <c r="H83" s="43"/>
      <c r="I83" s="43"/>
      <c r="J83" s="43"/>
      <c r="K83" s="43"/>
      <c r="L83" s="43"/>
      <c r="M83" s="43"/>
      <c r="N83" s="43"/>
      <c r="O83" s="43"/>
      <c r="P83" s="43"/>
      <c r="Q83" s="43"/>
      <c r="R83" s="43"/>
      <c r="S83" s="43"/>
    </row>
    <row r="84" spans="1:19" x14ac:dyDescent="0.2">
      <c r="A84" s="91"/>
      <c r="B84" s="95" t="str">
        <f>'Parameters List'!B84</f>
        <v>RF AGC (dB) - Ref Rx</v>
      </c>
      <c r="C84" s="67">
        <f>VLOOKUP(C$81,'AGC Set Table'!$A$3:$K$9,8,FALSE)</f>
        <v>0</v>
      </c>
      <c r="D84" s="67">
        <f>VLOOKUP(D$81,'AGC Set Table'!$A$3:$K$9,8,FALSE)</f>
        <v>0</v>
      </c>
      <c r="F84" s="43"/>
      <c r="G84" s="43"/>
      <c r="H84" s="43"/>
      <c r="I84" s="43"/>
      <c r="J84" s="43"/>
      <c r="K84" s="43"/>
      <c r="L84" s="43"/>
      <c r="M84" s="43"/>
      <c r="N84" s="43"/>
      <c r="O84" s="43"/>
      <c r="P84" s="43"/>
      <c r="Q84" s="43"/>
      <c r="R84" s="43"/>
      <c r="S84" s="43"/>
    </row>
    <row r="85" spans="1:19" x14ac:dyDescent="0.2">
      <c r="A85" s="91"/>
      <c r="B85" s="95" t="str">
        <f>'Parameters List'!B85</f>
        <v>IF AGC (dB) - Ref Rx</v>
      </c>
      <c r="C85" s="67">
        <f>VLOOKUP(C$81,'AGC Set Table'!$A$3:$K$9,9,FALSE)</f>
        <v>5</v>
      </c>
      <c r="D85" s="67">
        <f>VLOOKUP(D$81,'AGC Set Table'!$A$3:$K$9,9,FALSE)</f>
        <v>5</v>
      </c>
      <c r="F85" s="43"/>
      <c r="G85" s="43"/>
      <c r="H85" s="43"/>
      <c r="I85" s="43"/>
      <c r="J85" s="43"/>
      <c r="K85" s="43"/>
      <c r="L85" s="43"/>
      <c r="M85" s="43"/>
      <c r="N85" s="43"/>
      <c r="O85" s="43"/>
      <c r="P85" s="43"/>
      <c r="Q85" s="43"/>
      <c r="R85" s="43"/>
      <c r="S85" s="43"/>
    </row>
    <row r="86" spans="1:19" x14ac:dyDescent="0.2">
      <c r="A86" s="91"/>
      <c r="B86" s="95" t="str">
        <f>'Parameters List'!B86</f>
        <v>NF @ADCout (dB) - 1st Rx</v>
      </c>
      <c r="C86" s="67">
        <f>VLOOKUP(C$81,'AGC Set Table'!$A$3:$K$9,IF(C$80=0,6,IF(C$80=1,7)),FALSE)</f>
        <v>2.75</v>
      </c>
      <c r="D86" s="67">
        <f>VLOOKUP(D$81,'AGC Set Table'!$A$3:$K$9,IF(D$80=0,6,IF(D$80=1,7)),FALSE)</f>
        <v>2.75</v>
      </c>
      <c r="F86" s="43"/>
      <c r="G86" s="43"/>
      <c r="H86" s="43"/>
      <c r="I86" s="43"/>
      <c r="J86" s="43"/>
      <c r="K86" s="43"/>
      <c r="L86" s="43"/>
      <c r="M86" s="43"/>
      <c r="N86" s="43"/>
      <c r="O86" s="43"/>
      <c r="P86" s="43"/>
      <c r="Q86" s="43"/>
      <c r="R86" s="43"/>
      <c r="S86" s="43"/>
    </row>
    <row r="87" spans="1:19" x14ac:dyDescent="0.2">
      <c r="A87" s="91"/>
      <c r="B87" s="95" t="str">
        <f>'Parameters List'!B87</f>
        <v>NF @ADCout (dB) - Ref Rx</v>
      </c>
      <c r="C87" s="67">
        <f>VLOOKUP(C$81,'AGC Set Table'!$A$3:$K$9,11,FALSE)</f>
        <v>2.5299999999999998</v>
      </c>
      <c r="D87" s="67">
        <f>VLOOKUP(D$81,'AGC Set Table'!$A$3:$K$9,11,FALSE)</f>
        <v>2.5299999999999998</v>
      </c>
      <c r="F87" s="43"/>
      <c r="G87" s="43"/>
      <c r="H87" s="43"/>
      <c r="I87" s="43"/>
      <c r="J87" s="43"/>
      <c r="K87" s="43"/>
      <c r="L87" s="43"/>
      <c r="M87" s="43"/>
      <c r="N87" s="43"/>
      <c r="O87" s="43"/>
      <c r="P87" s="43"/>
      <c r="Q87" s="43"/>
      <c r="R87" s="43"/>
      <c r="S87" s="43"/>
    </row>
    <row r="88" spans="1:19" x14ac:dyDescent="0.2">
      <c r="A88" s="91" t="s">
        <v>81</v>
      </c>
      <c r="B88" s="94" t="str">
        <f>'Parameters List'!B88</f>
        <v>RCS (m^2)</v>
      </c>
      <c r="C88" s="74">
        <v>0.01</v>
      </c>
      <c r="D88" s="74">
        <v>0.1</v>
      </c>
      <c r="F88" s="43"/>
      <c r="G88" s="43"/>
      <c r="H88" s="43"/>
      <c r="I88" s="43"/>
      <c r="J88" s="43"/>
      <c r="K88" s="43"/>
      <c r="L88" s="43"/>
      <c r="M88" s="43"/>
      <c r="N88" s="43"/>
      <c r="O88" s="43"/>
      <c r="P88" s="43"/>
      <c r="Q88" s="43"/>
      <c r="R88" s="43"/>
      <c r="S88" s="43"/>
    </row>
    <row r="89" spans="1:19" x14ac:dyDescent="0.2">
      <c r="A89" s="91"/>
      <c r="B89" s="95" t="str">
        <f>'Parameters List'!B89</f>
        <v>σ(dB/m2)</v>
      </c>
      <c r="C89" s="67">
        <f>10*LOG10(C$88)</f>
        <v>-20</v>
      </c>
      <c r="D89" s="67">
        <f>10*LOG10(D$88)</f>
        <v>-10</v>
      </c>
      <c r="F89" s="43"/>
      <c r="G89" s="43"/>
      <c r="H89" s="43"/>
      <c r="I89" s="43"/>
      <c r="J89" s="43"/>
      <c r="K89" s="43"/>
      <c r="L89" s="43"/>
      <c r="M89" s="43"/>
      <c r="N89" s="43"/>
      <c r="O89" s="43"/>
      <c r="P89" s="43"/>
      <c r="Q89" s="43"/>
      <c r="R89" s="43"/>
      <c r="S89" s="43"/>
    </row>
    <row r="90" spans="1:19" x14ac:dyDescent="0.2">
      <c r="A90" s="91"/>
      <c r="B90" s="80" t="str">
        <f>'Parameters List'!B90</f>
        <v>Tgt min range @ADCin (dBm) - Ref. Rx</v>
      </c>
      <c r="C90" s="70">
        <f>$C$185+$C$186+$C$188+C$89+$C$189-$C$190-40*LOG10(C$43)+$C$171-C$84-C$85-$C$179*(C$80=1)</f>
        <v>-74.654927997546451</v>
      </c>
      <c r="D90" s="70">
        <f>$C$185+$C$186+$C$188+D$89+$C$189-$C$190-40*LOG10(D$43)+$C$171-D$84-D$85-$C$179*(D$80=1)</f>
        <v>-43.739778186332956</v>
      </c>
      <c r="F90" s="43"/>
      <c r="G90" s="43"/>
      <c r="H90" s="43"/>
      <c r="I90" s="43"/>
      <c r="J90" s="43"/>
      <c r="K90" s="43"/>
      <c r="L90" s="43"/>
      <c r="M90" s="43"/>
      <c r="N90" s="43"/>
      <c r="O90" s="43"/>
      <c r="P90" s="43"/>
      <c r="Q90" s="43"/>
      <c r="R90" s="43"/>
      <c r="S90" s="43"/>
    </row>
    <row r="91" spans="1:19" x14ac:dyDescent="0.2">
      <c r="A91" s="91"/>
      <c r="B91" s="80" t="str">
        <f>'Parameters List'!B91</f>
        <v>Tgt max range @ADCin (dBm) - Ref. Rx</v>
      </c>
      <c r="C91" s="70">
        <f>$C$185+$C$186+$C$188+C$89+$C$189-$C$190-40*LOG10(C$44)+$C$171-C$84-C$85-$C$179*(C$80=1)</f>
        <v>-91.60995770820395</v>
      </c>
      <c r="D91" s="70">
        <f>$C$185+$C$186+$C$188+D$89+$C$189-$C$190-40*LOG10(D$44)+$C$171-D$84-D$85-$C$179*(D$80=1)</f>
        <v>-59.922601689174996</v>
      </c>
      <c r="F91" s="43"/>
      <c r="G91" s="43"/>
      <c r="H91" s="43"/>
      <c r="I91" s="43"/>
      <c r="J91" s="43"/>
      <c r="K91" s="43"/>
      <c r="L91" s="43"/>
      <c r="M91" s="43"/>
      <c r="N91" s="43"/>
      <c r="O91" s="43"/>
      <c r="P91" s="43"/>
      <c r="Q91" s="43"/>
      <c r="R91" s="43"/>
      <c r="S91" s="43"/>
    </row>
    <row r="92" spans="1:19" x14ac:dyDescent="0.2">
      <c r="A92" s="91"/>
      <c r="B92" s="95" t="str">
        <f>'Parameters List'!B92</f>
        <v>1st Rx Noise @ADCout (dBm/bin)</v>
      </c>
      <c r="C92" s="67">
        <f>C$86+$C$173+$C$171-C$84-C$85+10*LOG10($C$175*10^6)-$C$178*(C$80=1)+10*LOG10($C$156/$C$157)</f>
        <v>-36.229400086720375</v>
      </c>
      <c r="D92" s="67">
        <f>D$86+$C$173+$C$171-D$84-D$85+10*LOG10($C$175*10^6)-$C$178*(D$80=1)+10*LOG10($C$156/$C$157)</f>
        <v>-36.229400086720375</v>
      </c>
      <c r="F92" s="43"/>
      <c r="G92" s="43"/>
      <c r="H92" s="43"/>
      <c r="I92" s="43"/>
      <c r="J92" s="43"/>
      <c r="K92" s="43"/>
      <c r="L92" s="43"/>
      <c r="M92" s="43"/>
      <c r="N92" s="43"/>
      <c r="O92" s="43"/>
      <c r="P92" s="43"/>
      <c r="Q92" s="43"/>
      <c r="R92" s="43"/>
      <c r="S92" s="43"/>
    </row>
    <row r="93" spans="1:19" x14ac:dyDescent="0.2">
      <c r="A93" s="91"/>
      <c r="B93" s="95" t="str">
        <f>'Parameters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'Parameters List'!B94</f>
        <v>Total Noise @ADCout (dBm/bin)</v>
      </c>
      <c r="C94" s="67">
        <f>10*LOG10(10^((C$93 + 10*LOG10($C$157))/10) + 10^((C$92 + 10*LOG10(($C$182-$C$157) / $C$156))/10))+ (10*LOG10(C$34) - C$35) * (C$34&gt;1)</f>
        <v>-27.096496928308373</v>
      </c>
      <c r="D94" s="67">
        <f>10*LOG10(10^((D$93 + 10*LOG10($C$157))/10) + 10^((D$92 + 10*LOG10(($C$182-$C$157) / $C$156))/10))+ (10*LOG10(D$34) - D$35) * (D$34&gt;1)</f>
        <v>-30.106796884948185</v>
      </c>
      <c r="F94" s="43"/>
      <c r="G94" s="43"/>
      <c r="H94" s="43"/>
      <c r="I94" s="43"/>
      <c r="J94" s="43"/>
      <c r="K94" s="43"/>
      <c r="L94" s="43"/>
      <c r="M94" s="43"/>
      <c r="N94" s="43"/>
      <c r="O94" s="43"/>
      <c r="P94" s="43"/>
      <c r="Q94" s="43"/>
      <c r="R94" s="43"/>
      <c r="S94" s="43"/>
    </row>
    <row r="95" spans="1:19" x14ac:dyDescent="0.2">
      <c r="A95" s="91" t="s">
        <v>81</v>
      </c>
      <c r="B95" s="95" t="str">
        <f>'Parameters List'!B95</f>
        <v>Rx Processing Gain (dB)</v>
      </c>
      <c r="C95" s="67">
        <f>10*LOG10(C$46/2 * C$48 * C$51 * C$49) - $C$195</f>
        <v>54.213033002746116</v>
      </c>
      <c r="D95" s="67">
        <f>10*LOG10(D$46/2 * D$48 * D$51 * D$49) - $C$195</f>
        <v>38.703958313940305</v>
      </c>
      <c r="F95" s="43"/>
      <c r="G95" s="43"/>
      <c r="H95" s="43"/>
      <c r="I95" s="43"/>
      <c r="J95" s="43"/>
      <c r="K95" s="43"/>
      <c r="L95" s="43"/>
      <c r="M95" s="43"/>
      <c r="N95" s="43"/>
      <c r="O95" s="43"/>
      <c r="P95" s="43"/>
      <c r="Q95" s="43"/>
      <c r="R95" s="43"/>
      <c r="S95" s="43"/>
    </row>
    <row r="96" spans="1:19" x14ac:dyDescent="0.2">
      <c r="A96" s="91"/>
      <c r="B96" s="95" t="str">
        <f>'Parameters List'!B96</f>
        <v>Total Processing Gain (dB)</v>
      </c>
      <c r="C96" s="67">
        <f>C$95 + 20*LOG10($C$182) + (20*LOG10(C$34) - 2 * C$35) * (C$34&gt;1)-$C$179*(C$80=1)-$C$177*(C$80=1)</f>
        <v>92.489310050420443</v>
      </c>
      <c r="D96" s="67">
        <f>D$95 + 20*LOG10($C$182) + (20*LOG10(D$34) - 2 * D$35) * (D$34&gt;1)-$C$179*(D$80=1)-$C$177*(D$80=1)</f>
        <v>70.959635448335007</v>
      </c>
      <c r="F96" s="43"/>
      <c r="G96" s="43"/>
      <c r="H96" s="43"/>
      <c r="I96" s="43"/>
      <c r="J96" s="43"/>
      <c r="K96" s="43"/>
      <c r="L96" s="43"/>
      <c r="M96" s="43"/>
      <c r="N96" s="43"/>
      <c r="O96" s="43"/>
      <c r="P96" s="43"/>
      <c r="Q96" s="43"/>
      <c r="R96" s="43"/>
      <c r="S96" s="43"/>
    </row>
    <row r="97" spans="1:19" x14ac:dyDescent="0.2">
      <c r="A97" s="92"/>
      <c r="B97" s="95" t="str">
        <f>'Parameters List'!B97</f>
        <v>Total Loss (dB)</v>
      </c>
      <c r="C97" s="67">
        <f>$C$191 + ($C$202*(C$47=0)+$C$203*(C$47=1)+$C$198) + C$61 + C$64</f>
        <v>1.6633115861568424</v>
      </c>
      <c r="D97" s="67">
        <f>$C$191 + ($C$202*(D$47=0)+$C$203*(D$47=1)+$C$198) + D$61 + D$64</f>
        <v>1.6628323922311923</v>
      </c>
    </row>
    <row r="98" spans="1:19" x14ac:dyDescent="0.2">
      <c r="A98" s="91"/>
      <c r="B98" s="80" t="str">
        <f>'Parameters List'!B98</f>
        <v>SNR min range (dB)</v>
      </c>
      <c r="C98" s="70">
        <f>C$90+C$96-C$94-C$97</f>
        <v>43.267567395025516</v>
      </c>
      <c r="D98" s="70">
        <f>D$90+D$96-D$94-D$97</f>
        <v>55.663821754719038</v>
      </c>
      <c r="F98" s="43"/>
      <c r="G98" s="43"/>
      <c r="H98" s="43"/>
      <c r="I98" s="43"/>
      <c r="J98" s="43"/>
      <c r="K98" s="43"/>
      <c r="L98" s="43"/>
      <c r="M98" s="43"/>
      <c r="N98" s="43"/>
      <c r="O98" s="43"/>
      <c r="P98" s="43"/>
      <c r="Q98" s="43"/>
      <c r="R98" s="43"/>
      <c r="S98" s="43"/>
    </row>
    <row r="99" spans="1:19" x14ac:dyDescent="0.2">
      <c r="A99" s="91"/>
      <c r="B99" s="80" t="str">
        <f>'Parameters List'!B99</f>
        <v>SNR max range (dB)</v>
      </c>
      <c r="C99" s="70">
        <f>C$91+C$96-C$94-C$97</f>
        <v>26.312537684368024</v>
      </c>
      <c r="D99" s="70">
        <f>D$91+D$96-D$94-D$97</f>
        <v>39.480998251876997</v>
      </c>
      <c r="F99" s="43"/>
      <c r="G99" s="43"/>
      <c r="H99" s="43"/>
      <c r="I99" s="43"/>
      <c r="J99" s="43"/>
      <c r="K99" s="43"/>
      <c r="L99" s="43"/>
      <c r="M99" s="43"/>
      <c r="N99" s="43"/>
      <c r="O99" s="43"/>
      <c r="P99" s="43"/>
      <c r="Q99" s="43"/>
      <c r="R99" s="43"/>
      <c r="S99" s="43"/>
    </row>
    <row r="100" spans="1:19" x14ac:dyDescent="0.2">
      <c r="A100" s="91"/>
      <c r="B100" s="95" t="str">
        <f>'Parameters List'!B100</f>
        <v>Duty cycle per beam</v>
      </c>
      <c r="C100" s="67">
        <f>C$36/$C$104</f>
        <v>0.27027027027027029</v>
      </c>
      <c r="D100" s="67">
        <f>D$36/$C$104</f>
        <v>8.1081081081081086E-2</v>
      </c>
      <c r="F100" s="43"/>
      <c r="G100" s="43"/>
      <c r="H100" s="43"/>
      <c r="I100" s="43"/>
      <c r="J100" s="43"/>
      <c r="K100" s="43"/>
      <c r="L100" s="43"/>
      <c r="M100" s="43"/>
      <c r="N100" s="43"/>
      <c r="O100" s="43"/>
      <c r="P100" s="43"/>
      <c r="Q100" s="43"/>
      <c r="R100" s="43"/>
      <c r="S100" s="43"/>
    </row>
    <row r="101" spans="1:19" x14ac:dyDescent="0.2">
      <c r="A101" s="91"/>
      <c r="B101" s="95" t="str">
        <f>'Parameters List'!B101</f>
        <v>Buffer size (KB)</v>
      </c>
      <c r="C101" s="67">
        <f>MROUND((IF(C$21, $C$210*$C$155, C$54)*C$51*8+64)/1024,4)</f>
        <v>1760</v>
      </c>
      <c r="D101" s="67">
        <f>MROUND((IF(D$21, $C$210*$C$155, D$54)*D$51*8+64)/1024,4)</f>
        <v>0</v>
      </c>
      <c r="F101" s="43"/>
      <c r="G101" s="43"/>
      <c r="H101" s="43"/>
      <c r="I101" s="43"/>
      <c r="J101" s="43"/>
      <c r="K101" s="43"/>
      <c r="L101" s="43"/>
      <c r="M101" s="43"/>
      <c r="N101" s="43"/>
      <c r="O101" s="43"/>
      <c r="P101" s="43"/>
      <c r="Q101" s="43"/>
      <c r="R101" s="43"/>
      <c r="S101" s="43"/>
    </row>
    <row r="102" spans="1:19" x14ac:dyDescent="0.2">
      <c r="A102" s="91"/>
      <c r="B102" s="95" t="str">
        <f>'Parameters List'!B102</f>
        <v>PCIe Rate MB/s</v>
      </c>
      <c r="C102" s="67">
        <f>C$101*1024/C$30/1024</f>
        <v>35.732848232848227</v>
      </c>
      <c r="D102" s="67">
        <f>D$101*1024/D$30/1024</f>
        <v>0</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'Parameters List'!B104</f>
        <v>Total PRI (μs)</v>
      </c>
      <c r="C104" s="77">
        <f>(SUMIF($E$13:$AJ$13,"=1",$E$18:$AJ$18)*C$46+SUMIF($E$13:$AJ$13,"=2",$E$18:$AJ$18)*D$46)*$C$174+$C$208+COUNTIFS(E$13:AJ$13,"=1",E$15:AJ$15,"=1") * C$32 + COUNTIFS(E$13:AJ$13,"=1",E$15:AJ$15,"=2") * C$33 + COUNTIFS(E$13:AJ$13,"=2",E$15:AJ$15,"=1") * D$32 + COUNTIFS(E$13:AJ$13,"=2",E$15:AJ$15,"=2") * D$33</f>
        <v>48.1</v>
      </c>
      <c r="F104" s="43"/>
      <c r="G104" s="43"/>
      <c r="H104" s="43"/>
      <c r="I104" s="43"/>
      <c r="J104" s="43"/>
      <c r="K104" s="43"/>
      <c r="L104" s="43"/>
      <c r="M104" s="43"/>
      <c r="N104" s="43"/>
      <c r="O104" s="43"/>
      <c r="P104" s="43"/>
      <c r="Q104" s="43"/>
      <c r="R104" s="43"/>
      <c r="S104" s="43"/>
    </row>
    <row r="105" spans="1:19" x14ac:dyDescent="0.2">
      <c r="B105" s="76" t="str">
        <f>'Parameters List'!B105</f>
        <v>Unambiguous Range (km)</v>
      </c>
      <c r="C105" s="77">
        <f>$C$104*$C$163/1000</f>
        <v>7.2100086149000004</v>
      </c>
      <c r="F105" s="43"/>
      <c r="G105" s="43"/>
      <c r="H105" s="43"/>
      <c r="I105" s="43"/>
      <c r="J105" s="43"/>
      <c r="K105" s="43"/>
      <c r="L105" s="43"/>
      <c r="M105" s="43"/>
      <c r="N105" s="43"/>
      <c r="O105" s="43"/>
      <c r="P105" s="43"/>
      <c r="Q105" s="43"/>
      <c r="R105" s="43"/>
      <c r="S105" s="43"/>
    </row>
    <row r="106" spans="1:19" x14ac:dyDescent="0.2">
      <c r="B106" s="76" t="str">
        <f>'Parameters List'!B106</f>
        <v>Total PRF (kHz)</v>
      </c>
      <c r="C106" s="77">
        <f>1000/$C$104</f>
        <v>20.79002079002079</v>
      </c>
      <c r="F106" s="43"/>
      <c r="G106" s="43"/>
      <c r="H106" s="43"/>
      <c r="I106" s="43"/>
      <c r="J106" s="43"/>
      <c r="K106" s="43"/>
      <c r="L106" s="43"/>
      <c r="M106" s="43"/>
      <c r="N106" s="43"/>
      <c r="O106" s="43"/>
      <c r="P106" s="43"/>
      <c r="Q106" s="43"/>
      <c r="R106" s="43"/>
      <c r="S106" s="43"/>
    </row>
    <row r="107" spans="1:19" x14ac:dyDescent="0.2">
      <c r="B107" s="76" t="str">
        <f>'Parameters List'!B107</f>
        <v>Folding (Blind) Velocity (m/s)</v>
      </c>
      <c r="C107" s="77">
        <f>1000*$C$106/$C$168</f>
        <v>890.38449064449071</v>
      </c>
      <c r="F107" s="43"/>
      <c r="G107" s="43"/>
      <c r="H107" s="43"/>
      <c r="I107" s="43"/>
      <c r="J107" s="43"/>
      <c r="K107" s="43"/>
      <c r="L107" s="43"/>
      <c r="M107" s="43"/>
      <c r="N107" s="43"/>
      <c r="O107" s="43"/>
      <c r="P107" s="43"/>
      <c r="Q107" s="43"/>
      <c r="R107" s="43"/>
      <c r="S107" s="43"/>
    </row>
    <row r="108" spans="1:19" x14ac:dyDescent="0.2">
      <c r="B108" s="76" t="str">
        <f>'Parameters List'!B108</f>
        <v>Max Trk Vr STD for Res Vel Amb (m/s)</v>
      </c>
      <c r="C108" s="77">
        <f>$C$107/4</f>
        <v>222.59612266112268</v>
      </c>
      <c r="F108" s="43"/>
      <c r="G108" s="43"/>
      <c r="H108" s="43"/>
      <c r="I108" s="43"/>
      <c r="J108" s="43"/>
      <c r="K108" s="43"/>
      <c r="L108" s="43"/>
      <c r="M108" s="43"/>
      <c r="N108" s="43"/>
      <c r="O108" s="43"/>
      <c r="P108" s="43"/>
      <c r="Q108" s="43"/>
      <c r="R108" s="43"/>
      <c r="S108" s="43"/>
    </row>
    <row r="109" spans="1:19" x14ac:dyDescent="0.2">
      <c r="B109" s="76" t="str">
        <f>'Parameters List'!B109</f>
        <v>Antenna 1 PA Duty cycle</v>
      </c>
      <c r="C109" s="77">
        <f>C$100*IF(C$27&gt;0,C$27,C$26)+D$100*IF(D$27&gt;0,D$27,D$26)</f>
        <v>0.27027027027027029</v>
      </c>
      <c r="F109" s="43"/>
      <c r="G109" s="43"/>
      <c r="H109" s="43"/>
      <c r="I109" s="43"/>
      <c r="J109" s="43"/>
      <c r="K109" s="43"/>
      <c r="L109" s="43"/>
      <c r="M109" s="43"/>
      <c r="N109" s="43"/>
      <c r="O109" s="43"/>
      <c r="P109" s="43"/>
      <c r="Q109" s="43"/>
      <c r="R109" s="43"/>
      <c r="S109" s="43"/>
    </row>
    <row r="110" spans="1:19" x14ac:dyDescent="0.2">
      <c r="B110" s="76" t="str">
        <f>'Parameters List'!B110</f>
        <v>Antenna 2 PA Duty cycle</v>
      </c>
      <c r="C110" s="77">
        <f>C$100*IF(C$28&gt;0,C$28,C$26)+D$100*IF(D$28&gt;0,D$28,D$26)</f>
        <v>0.27027027027027029</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'Parameters List'!B112</f>
        <v>Tgt RCS (m^2):</v>
      </c>
      <c r="C112" s="74">
        <v>100</v>
      </c>
      <c r="D112" s="74">
        <v>0.1</v>
      </c>
      <c r="F112" s="43"/>
      <c r="G112" s="43"/>
      <c r="H112" s="43"/>
      <c r="I112" s="43"/>
      <c r="J112" s="43"/>
      <c r="K112" s="43"/>
      <c r="L112" s="43"/>
      <c r="M112" s="43"/>
      <c r="N112" s="43"/>
      <c r="O112" s="43"/>
      <c r="P112" s="43"/>
      <c r="Q112" s="43"/>
      <c r="R112" s="43"/>
      <c r="S112" s="43"/>
    </row>
    <row r="113" spans="2:19" x14ac:dyDescent="0.2">
      <c r="B113" s="78" t="str">
        <f>'Parameters List'!B113</f>
        <v>SNR @ Range (m):</v>
      </c>
      <c r="C113" s="74">
        <v>50000</v>
      </c>
      <c r="D113" s="74">
        <f>$C$163*D$36 + D$41</f>
        <v>584.59529310000005</v>
      </c>
    </row>
    <row r="114" spans="2:19" x14ac:dyDescent="0.2">
      <c r="B114" s="79" t="str">
        <f>'Parameters List'!B114</f>
        <v>Tgt @ADCin (dBm) - Ref. Rx</v>
      </c>
      <c r="C114" s="70">
        <f>$C$185+$C$186+$C$188+10*LOG10(C$112)+$C$189-$C$190-40*LOG10(C$113)+$C$171-C$84-C$85-$C$179*(C$80=1)</f>
        <v>-91.024365788155876</v>
      </c>
      <c r="D114" s="70">
        <f>$C$185+$C$186+$C$188+10*LOG10(D$112)+$C$189-$C$190-40*LOG10(D$113)+$C$171-D$84-D$85-$C$179*(D$80=1)</f>
        <v>-43.739778186332956</v>
      </c>
    </row>
    <row r="115" spans="2:19" x14ac:dyDescent="0.2">
      <c r="B115" s="95" t="str">
        <f>'Parameters List'!B115</f>
        <v>Tgt @ADCin (dBm) - 1st Rx - no calib.</v>
      </c>
      <c r="C115" s="70">
        <f>C$114-($C$188+$C$171-C$84-C$85-$C$179*(C$80=1))+$C$187+$C$170-C$82-C$83-$C$177*(C$80=1)</f>
        <v>-85.024365788155876</v>
      </c>
      <c r="D115" s="70">
        <f>D$114-($C$188+$C$171-D$84-D$85-$C$179*(D$80=1))+$C$187+$C$170-D$82-D$83-$C$177*(D$80=1)</f>
        <v>-37.739778186332956</v>
      </c>
      <c r="F115" s="43"/>
      <c r="G115" s="43"/>
      <c r="H115" s="43"/>
      <c r="I115" s="43"/>
      <c r="J115" s="43"/>
      <c r="K115" s="43"/>
      <c r="L115" s="43"/>
      <c r="M115" s="43"/>
      <c r="N115" s="43"/>
      <c r="O115" s="43"/>
      <c r="P115" s="43"/>
      <c r="Q115" s="43"/>
      <c r="R115" s="43"/>
      <c r="S115" s="43"/>
    </row>
    <row r="116" spans="2:19" x14ac:dyDescent="0.2">
      <c r="B116" s="95" t="str">
        <f>'Parameters List'!B116</f>
        <v>Tgt @ADCout (dBm) - 1st Rx</v>
      </c>
      <c r="C116" s="70">
        <f>C$114+20*LOG10($C$156/$C$157)-$C$177*(C$80=1)</f>
        <v>-71.024365788155876</v>
      </c>
      <c r="D116" s="70">
        <f>D$114+20*LOG10($C$156/$C$157)-$C$177*(D$80=1)</f>
        <v>-23.739778186332956</v>
      </c>
      <c r="F116" s="43"/>
      <c r="G116" s="43"/>
      <c r="H116" s="43"/>
      <c r="I116" s="43"/>
      <c r="J116" s="43"/>
      <c r="K116" s="43"/>
      <c r="L116" s="43"/>
      <c r="M116" s="43"/>
      <c r="N116" s="43"/>
      <c r="O116" s="43"/>
      <c r="P116" s="43"/>
      <c r="Q116" s="43"/>
      <c r="R116" s="43"/>
      <c r="S116" s="43"/>
    </row>
    <row r="117" spans="2:19" x14ac:dyDescent="0.2">
      <c r="B117" s="95" t="str">
        <f>'Parameters List'!B117</f>
        <v>Tgt @ADCout (dBm)</v>
      </c>
      <c r="C117" s="70">
        <f>20*LOG10(10^(C$114/20)+($C$155-1)*10^(C$116/20))+ (20*LOG10(C$34) - 2 * C$35) * (C$34&gt;1)</f>
        <v>-52.748088740481542</v>
      </c>
      <c r="D117" s="70">
        <f>20*LOG10(10^(D$114/20)+($C$155-1)*10^(D$116/20))+ (20*LOG10(D$34) - 2 * D$35) * (D$34&gt;1)</f>
        <v>-11.484101051938245</v>
      </c>
      <c r="G117" s="43"/>
      <c r="H117" s="43"/>
      <c r="I117" s="43"/>
      <c r="J117" s="43"/>
      <c r="K117" s="43"/>
      <c r="L117" s="43"/>
      <c r="M117" s="43"/>
      <c r="N117" s="43"/>
      <c r="O117" s="43"/>
      <c r="P117" s="43"/>
      <c r="Q117" s="43"/>
      <c r="R117" s="43"/>
      <c r="S117" s="43"/>
    </row>
    <row r="118" spans="2:19" x14ac:dyDescent="0.2">
      <c r="B118" s="79" t="str">
        <f>'Parameters List'!B118</f>
        <v>SNR (dB)</v>
      </c>
      <c r="C118" s="70">
        <f>C117-C$94-C$97+C$95</f>
        <v>26.898129604416106</v>
      </c>
      <c r="D118" s="70">
        <f>D117-D$94-D$97+D$95</f>
        <v>55.663821754719052</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'Parameters List'!B120</f>
        <v>Probability of Detection @ SNR (dB):</v>
      </c>
      <c r="C120" s="64">
        <v>15</v>
      </c>
      <c r="D120" s="64">
        <v>18</v>
      </c>
    </row>
    <row r="121" spans="2:19" x14ac:dyDescent="0.2">
      <c r="B121" s="71" t="str">
        <f>'Parameters List'!B121</f>
        <v>SWERLING (0, I, II, III, IV)</v>
      </c>
      <c r="C121" s="64">
        <v>1</v>
      </c>
      <c r="D121" s="64">
        <v>0</v>
      </c>
    </row>
    <row r="122" spans="2:19" x14ac:dyDescent="0.2">
      <c r="B122" s="79" t="str">
        <f>'Parameters List'!B122</f>
        <v>Probability of Detection</v>
      </c>
      <c r="C122" s="70">
        <f>pf_PD_PFA_CFAR("pd", C$74, C$120, C$121, C$68*2, 1)</f>
        <v>0.6181820390905115</v>
      </c>
      <c r="D122" s="70">
        <f>pf_PD_PFA_CFAR("pd", D$74, D$120, D$121, D$68*2, 1)</f>
        <v>0.99847320708078879</v>
      </c>
    </row>
    <row r="123" spans="2:19" x14ac:dyDescent="0.2">
      <c r="B123" s="71" t="str">
        <f>'Parameters List'!B123</f>
        <v>Pd for at least N of M detections (N,M)</v>
      </c>
      <c r="C123" s="105" t="s">
        <v>386</v>
      </c>
      <c r="D123" s="105" t="s">
        <v>386</v>
      </c>
    </row>
    <row r="124" spans="2:19" x14ac:dyDescent="0.2">
      <c r="B124" s="79" t="str">
        <f>'Parameters List'!B124</f>
        <v>Probability of Detection</v>
      </c>
      <c r="C124" s="70">
        <f>pf_PD_N_OUTOF_M(C$122, LEFT(C$123,FIND(",",C$123,1) - 1), MID(C$123,FIND(",",C$123,1)+1,100))</f>
        <v>0.92619322925372272</v>
      </c>
      <c r="D124" s="70">
        <f>pf_PD_N_OUTOF_M(D$122, LEFT(D$123,FIND(",",D$123,1) - 1), MID(D$123,FIND(",",D$123,1)+1,100))</f>
        <v>0.99999999997286315</v>
      </c>
    </row>
    <row r="125" spans="2:19" x14ac:dyDescent="0.2">
      <c r="B125" s="75"/>
    </row>
    <row r="126" spans="2:19" x14ac:dyDescent="0.2">
      <c r="B126" s="71" t="str">
        <f>'Parameters List'!B126</f>
        <v>Target Revisit Time (sec)</v>
      </c>
      <c r="C126" s="64">
        <v>0.05</v>
      </c>
      <c r="D126" s="64">
        <v>0.05</v>
      </c>
    </row>
    <row r="127" spans="2:19" x14ac:dyDescent="0.2">
      <c r="B127" s="68" t="str">
        <f>'Parameters List'!B127</f>
        <v>Acceleration Folding (m/s2)</v>
      </c>
      <c r="C127" s="67">
        <f>$C$107/C$126</f>
        <v>17807.689812889814</v>
      </c>
      <c r="D127" s="67">
        <f>$C$107/D$126</f>
        <v>17807.689812889814</v>
      </c>
    </row>
    <row r="128" spans="2:19" x14ac:dyDescent="0.2">
      <c r="B128" s="80" t="str">
        <f>'Parameters List'!B128</f>
        <v>Maximum Allowed Acceleration (m/s2)</v>
      </c>
      <c r="C128" s="70">
        <f>($C$107/4)/C$126</f>
        <v>4451.9224532224534</v>
      </c>
      <c r="D128" s="70">
        <f>($C$107/4)/D$126</f>
        <v>4451.9224532224534</v>
      </c>
    </row>
    <row r="129" spans="2:19" x14ac:dyDescent="0.2">
      <c r="B129" s="80" t="str">
        <f>'Parameters List'!B129</f>
        <v>Acceleration Ambiguity (m/s2)</v>
      </c>
      <c r="C129" s="70">
        <f>C$127-C$128</f>
        <v>13355.767359667359</v>
      </c>
      <c r="D129" s="70">
        <f>D$127-D$128</f>
        <v>13355.767359667359</v>
      </c>
    </row>
    <row r="130" spans="2:19" x14ac:dyDescent="0.2">
      <c r="B130" s="75"/>
    </row>
    <row r="131" spans="2:19" x14ac:dyDescent="0.2">
      <c r="B131" s="78" t="str">
        <f>'Parameters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'Parameters List'!B132</f>
        <v>SNR @ Range (m):</v>
      </c>
      <c r="C132" s="74">
        <f>$C$163*C$36 + C$41</f>
        <v>1948.650977</v>
      </c>
      <c r="D132" s="74">
        <f>$C$163*D$36 + D$41</f>
        <v>584.59529310000005</v>
      </c>
    </row>
    <row r="133" spans="2:19" x14ac:dyDescent="0.2">
      <c r="B133" s="79" t="str">
        <f>'Parameters List'!B133</f>
        <v>Tgt @ADCin (dBm) - Ref. Rx</v>
      </c>
      <c r="C133" s="70">
        <f>$C$185+$C$186+$C$188+10*LOG10(C$131)+$C$189-$C$190-40*LOG10(C$132)+$C$171-C$84-C$85-$C$179*(C$80=1)</f>
        <v>-74.654927997546451</v>
      </c>
      <c r="D133" s="70">
        <f>$C$185+$C$186+$C$188+10*LOG10(D$131)+$C$189-$C$190-40*LOG10(D$132)+$C$171-D$84-D$85-$C$179*(D$80=1)</f>
        <v>-43.739778186332956</v>
      </c>
    </row>
    <row r="134" spans="2:19" x14ac:dyDescent="0.2">
      <c r="B134" s="78" t="str">
        <f>'Parameters List'!B134</f>
        <v>Interferer @ Range (m)</v>
      </c>
      <c r="C134" s="74">
        <v>10000</v>
      </c>
      <c r="D134" s="74">
        <v>10000</v>
      </c>
    </row>
    <row r="135" spans="2:19" x14ac:dyDescent="0.2">
      <c r="B135" s="79" t="str">
        <f>'Parameters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'Parameters List'!B136</f>
        <v>Interferer @ ADCin (dBm) - 1st Rx</v>
      </c>
      <c r="C136" s="70">
        <f>C$135+20*LOG10($C$156/$C$157)-$C$177*(C$80=1)</f>
        <v>27.926533025505833</v>
      </c>
      <c r="D136" s="70">
        <f>$C$185+$C$186+$C$187-$C$166+$C$189-$C$190/3*2-20*LOG10(D$134)+$C$170-D$84-D$85-$C$177*(D$80=1)</f>
        <v>23.926533025505833</v>
      </c>
    </row>
    <row r="137" spans="2:19" x14ac:dyDescent="0.2">
      <c r="B137" s="81" t="str">
        <f>'Parameters List'!B137</f>
        <v>Ref. Rx Phase Noise @ADCin (dBm/bin)</v>
      </c>
      <c r="C137" s="67">
        <f>C$135+$C$165+10*LOG10(1/(C$30*10^-3))+10*LOG10($C$175*10^6/($C$106*10^3))</f>
        <v>-71.155866627612667</v>
      </c>
      <c r="D137" s="67">
        <f>D$135+$C$165+10*LOG10(1/(D$30*10^-3))+10*LOG10($C$175*10^6/($C$106*10^3))</f>
        <v>-60.875579391610231</v>
      </c>
    </row>
    <row r="138" spans="2:19" x14ac:dyDescent="0.2">
      <c r="B138" s="81" t="str">
        <f>'Parameters List'!B138</f>
        <v>Ref. Rx Phase Noise @ADCout (dBm/bin)</v>
      </c>
      <c r="C138" s="67">
        <f>C$137+C$95</f>
        <v>-16.942833624866552</v>
      </c>
      <c r="D138" s="67">
        <f>D$137+D$95</f>
        <v>-22.171621077669926</v>
      </c>
    </row>
    <row r="139" spans="2:19" x14ac:dyDescent="0.2">
      <c r="B139" s="81" t="str">
        <f>'Parameters List'!B139</f>
        <v>Ref. Rx Total Noise @ADCout (dBm/bin)</v>
      </c>
      <c r="C139" s="67">
        <f>10*LOG10(10 ^ (C$138 / 10) + 10 ^ (C$93 / 10))</f>
        <v>-16.937970846191558</v>
      </c>
      <c r="D139" s="67">
        <f>10*LOG10(10 ^ (D$138 / 10) + 10 ^ (D$93 / 10))</f>
        <v>-22.155432945098731</v>
      </c>
    </row>
    <row r="140" spans="2:19" x14ac:dyDescent="0.2">
      <c r="B140" s="81" t="str">
        <f>'Parameters List'!B140</f>
        <v>1st Rx Phase Noise @ADCout (dBm/bin)</v>
      </c>
      <c r="C140" s="67">
        <f>C$136+$C$165+10*LOG10(1/(C$30*10^-3))+10*LOG10($C$175*10^6/($C$106*10^3))+C$95</f>
        <v>3.0571663751334484</v>
      </c>
      <c r="D140" s="67">
        <f>D$136+$C$165+10*LOG10(1/(D$30*10^-3))+10*LOG10($C$175*10^6/($C$106*10^3))+D$95</f>
        <v>-6.1716210776699256</v>
      </c>
    </row>
    <row r="141" spans="2:19" x14ac:dyDescent="0.2">
      <c r="B141" s="81" t="str">
        <f>'Parameters List'!B141</f>
        <v>1st Rx Total Noise @ADCout (dBm/bin)</v>
      </c>
      <c r="C141" s="67">
        <f>10*LOG10(10 ^ (C$140 / 10) + 10 ^ (C$92 / 10))</f>
        <v>3.057678177246681</v>
      </c>
      <c r="D141" s="67">
        <f>10*LOG10(10 ^ (D$140 / 10) + 10 ^ (D$92 / 10))</f>
        <v>-6.1673376422750081</v>
      </c>
    </row>
    <row r="142" spans="2:19" x14ac:dyDescent="0.2">
      <c r="B142" s="81" t="str">
        <f>'Parameters List'!B142</f>
        <v>Total Noise Power @ADCout (dBm/bin)</v>
      </c>
      <c r="C142" s="67">
        <f>10*LOG10((($C$155-1) * 10^(C$140/20) + 10^(C$138/20))^2*((C$34 - 10^(C$35/10))*(C$34&gt;1) + 1) ^ 2 + 10^(C$94/10))</f>
        <v>21.333505765730546</v>
      </c>
      <c r="D142" s="67">
        <f>10*LOG10((($C$155-1) * 10^(D$140/20) + 10^(D$138/20))^2*((D$34 - 10^(D$35/10))*(D$34&gt;1) + 1) ^ 2 + 10^(D$94/10))</f>
        <v>6.2081054464318708</v>
      </c>
    </row>
    <row r="143" spans="2:19" x14ac:dyDescent="0.2">
      <c r="B143" s="79" t="str">
        <f>'Parameters List'!B143</f>
        <v>SNR (dB)</v>
      </c>
      <c r="C143" s="70">
        <f>IF(C$134&lt;=0, C$133+C$96-C$94, C$133+C$96 -C$142)-C$97</f>
        <v>-5.1624352990133975</v>
      </c>
      <c r="D143" s="70">
        <f>IF(D$134&lt;=0, D$133+D$96-D$94, D$133+D$96 -D$142)-D$97</f>
        <v>19.348919423338987</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'Parameters List'!B146</f>
        <v>Ref Rx Noise @ADCout (dBm/bin)</v>
      </c>
      <c r="C146" s="70">
        <f>C$93-C$95</f>
        <v>-100.66243308946649</v>
      </c>
      <c r="D146" s="83">
        <f>D$93-D$95</f>
        <v>-85.153358400660679</v>
      </c>
      <c r="F146" s="43"/>
      <c r="G146" s="43"/>
      <c r="H146" s="43"/>
      <c r="I146" s="43"/>
      <c r="J146" s="43"/>
      <c r="K146" s="43"/>
      <c r="L146" s="43"/>
      <c r="M146" s="43"/>
      <c r="N146" s="43"/>
      <c r="O146" s="43"/>
      <c r="P146" s="43"/>
      <c r="Q146" s="43"/>
      <c r="R146" s="43"/>
      <c r="S146" s="43"/>
    </row>
    <row r="147" spans="2:19" x14ac:dyDescent="0.2">
      <c r="B147" s="82" t="str">
        <f>'Parameters List'!B147</f>
        <v>1st Rx Noise @ADCout (dBm/bin)</v>
      </c>
      <c r="C147" s="70">
        <f>C$92-C$95</f>
        <v>-90.442433089466491</v>
      </c>
      <c r="D147" s="83">
        <f>D$92-D$95</f>
        <v>-74.93335840066068</v>
      </c>
    </row>
    <row r="148" spans="2:19" ht="15" thickBot="1" x14ac:dyDescent="0.25">
      <c r="B148" s="84" t="str">
        <f>'Parameters List'!B148</f>
        <v>Beam Total Noise @ADCout (dBm/bin)</v>
      </c>
      <c r="C148" s="85">
        <f>C$94-C$95 - (10*LOG10(C$34) - C$35) * (C$34&gt;1)</f>
        <v>-84.319829887694297</v>
      </c>
      <c r="D148" s="86">
        <f>D$94-D$95 - (10*LOG10(D$34) - D$35) * (D$34&gt;1)</f>
        <v>-68.810755198888486</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'Parameters List'!B151</f>
        <v>Ref Rx Noise @ADCout (dBm/bin)</v>
      </c>
      <c r="C151" s="70">
        <f>C$139-C$95</f>
        <v>-71.151003848937677</v>
      </c>
      <c r="D151" s="83">
        <f>D$139-D$95</f>
        <v>-60.859391259039036</v>
      </c>
      <c r="F151" s="43"/>
      <c r="G151" s="43"/>
      <c r="H151" s="43"/>
      <c r="I151" s="43"/>
      <c r="J151" s="43"/>
      <c r="K151" s="43"/>
      <c r="L151" s="43"/>
      <c r="M151" s="43"/>
      <c r="N151" s="43"/>
      <c r="O151" s="43"/>
      <c r="P151" s="43"/>
      <c r="Q151" s="43"/>
      <c r="R151" s="43"/>
      <c r="S151" s="43"/>
    </row>
    <row r="152" spans="2:19" x14ac:dyDescent="0.2">
      <c r="B152" s="82" t="str">
        <f>'Parameters List'!B152</f>
        <v>1st Rx Noise @ADCout (dBm/bin)</v>
      </c>
      <c r="C152" s="70">
        <f>C$141-C$95</f>
        <v>-51.155354825499437</v>
      </c>
      <c r="D152" s="83">
        <f>D$141-D$95</f>
        <v>-44.871295956215313</v>
      </c>
    </row>
    <row r="153" spans="2:19" ht="15" thickBot="1" x14ac:dyDescent="0.25">
      <c r="B153" s="84" t="str">
        <f>'Parameters List'!B153</f>
        <v>Beam Total Noise @ADCout (dBm/bin)</v>
      </c>
      <c r="C153" s="85">
        <f>10*LOG10(10 ^ ((C$137 + C$96 - (20*LOG10(C$34) - 2*C$35) * (C$34&gt;1))/ 10) + 10 ^ ((C$94 - (10*LOG10(C$34) - C$35) * (C$34&gt;1)) / 10)) - C$95</f>
        <v>-38.900064808267352</v>
      </c>
      <c r="D153" s="86">
        <f>10*LOG10(10 ^ ((D$137 + D$96 - (20*LOG10(D$34) - 2*D$35) * (D$34&gt;1))/ 10) + 10 ^ ((D$94 - (10*LOG10(D$34) - D$35) * (D$34&gt;1)) / 10)) - D$95</f>
        <v>-28.619486654633697</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'General System Parameters'!B9</f>
        <v># Rcvrs</v>
      </c>
      <c r="C155" s="33">
        <f>'General System Parameters'!C9</f>
        <v>5</v>
      </c>
      <c r="F155" s="43"/>
      <c r="G155" s="43"/>
      <c r="H155" s="43"/>
      <c r="I155" s="43"/>
      <c r="J155" s="43"/>
      <c r="K155" s="43"/>
      <c r="L155" s="43"/>
      <c r="M155" s="43"/>
      <c r="N155" s="43"/>
      <c r="O155" s="43"/>
      <c r="P155" s="43"/>
      <c r="Q155" s="43"/>
      <c r="R155" s="43"/>
      <c r="S155" s="43"/>
    </row>
    <row r="156" spans="2:19" x14ac:dyDescent="0.2">
      <c r="B156" s="32" t="str">
        <f>'General System Parameters'!B10</f>
        <v># Patches in 1st Rx</v>
      </c>
      <c r="C156" s="33">
        <f>'General System Parameters'!C10</f>
        <v>10</v>
      </c>
      <c r="F156" s="43"/>
      <c r="G156" s="43"/>
      <c r="H156" s="43"/>
      <c r="I156" s="43"/>
      <c r="J156" s="43"/>
      <c r="K156" s="43"/>
      <c r="L156" s="43"/>
      <c r="M156" s="43"/>
      <c r="N156" s="43"/>
      <c r="O156" s="43"/>
      <c r="P156" s="43"/>
      <c r="Q156" s="43"/>
      <c r="R156" s="43"/>
      <c r="S156" s="43"/>
    </row>
    <row r="157" spans="2:19" x14ac:dyDescent="0.2">
      <c r="B157" s="32" t="str">
        <f>'General System Parameters'!B11</f>
        <v># Patches in Ref (Guard) Rx</v>
      </c>
      <c r="C157" s="33">
        <f>'General System Parameters'!C11</f>
        <v>1</v>
      </c>
      <c r="F157" s="43"/>
      <c r="G157" s="43"/>
      <c r="H157" s="43"/>
      <c r="I157" s="43"/>
      <c r="J157" s="43"/>
      <c r="K157" s="43"/>
      <c r="L157" s="43"/>
      <c r="M157" s="43"/>
      <c r="N157" s="43"/>
      <c r="O157" s="43"/>
      <c r="P157" s="43"/>
      <c r="Q157" s="43"/>
      <c r="R157" s="43"/>
      <c r="S157" s="43"/>
    </row>
    <row r="158" spans="2:19" x14ac:dyDescent="0.2">
      <c r="B158" s="32" t="str">
        <f>'General System Parameters'!B12</f>
        <v>Typical System Gain (dB) - 1st Rx</v>
      </c>
      <c r="C158" s="33">
        <f>'General System Parameters'!C12</f>
        <v>59.76</v>
      </c>
      <c r="F158" s="43"/>
      <c r="G158" s="43"/>
      <c r="H158" s="43"/>
      <c r="I158" s="43"/>
      <c r="J158" s="43"/>
      <c r="K158" s="43"/>
      <c r="L158" s="43"/>
      <c r="M158" s="43"/>
      <c r="N158" s="43"/>
      <c r="O158" s="43"/>
      <c r="P158" s="43"/>
      <c r="Q158" s="43"/>
      <c r="R158" s="43"/>
      <c r="S158" s="43"/>
    </row>
    <row r="159" spans="2:19" x14ac:dyDescent="0.2">
      <c r="B159" s="32" t="str">
        <f>'General System Parameters'!B13</f>
        <v>Typical System Gain (dB) - Ref (Guard) Rx</v>
      </c>
      <c r="C159" s="33">
        <f>'General System Parameters'!C13</f>
        <v>54.1</v>
      </c>
      <c r="F159" s="43"/>
      <c r="G159" s="43"/>
      <c r="H159" s="43"/>
      <c r="I159" s="43"/>
      <c r="J159" s="43"/>
      <c r="K159" s="43"/>
      <c r="L159" s="43"/>
      <c r="M159" s="43"/>
      <c r="N159" s="43"/>
      <c r="O159" s="43"/>
      <c r="P159" s="43"/>
      <c r="Q159" s="43"/>
      <c r="R159" s="43"/>
      <c r="S159" s="43"/>
    </row>
    <row r="160" spans="2:19" x14ac:dyDescent="0.2">
      <c r="B160" s="32" t="str">
        <f>'General System Parameters'!B14</f>
        <v>Typical 1st Rx Calibration (dB)</v>
      </c>
      <c r="C160" s="33">
        <f>'General System Parameters'!C14</f>
        <v>4.3400000000000105</v>
      </c>
      <c r="F160" s="43"/>
      <c r="G160" s="43"/>
      <c r="H160" s="43"/>
      <c r="I160" s="43"/>
      <c r="J160" s="43"/>
      <c r="K160" s="43"/>
      <c r="L160" s="43"/>
      <c r="M160" s="43"/>
      <c r="N160" s="43"/>
      <c r="O160" s="43"/>
      <c r="P160" s="43"/>
      <c r="Q160" s="43"/>
      <c r="R160" s="43"/>
      <c r="S160" s="43"/>
    </row>
    <row r="161" spans="2:19" x14ac:dyDescent="0.2">
      <c r="B161" s="32" t="str">
        <f>'General System Parameters'!B15</f>
        <v>System Propagation Delay (us)</v>
      </c>
      <c r="C161" s="33">
        <f>'General System Parameters'!C15</f>
        <v>0.15</v>
      </c>
      <c r="F161" s="43"/>
      <c r="G161" s="43"/>
      <c r="H161" s="43"/>
      <c r="I161" s="43"/>
      <c r="J161" s="43"/>
      <c r="K161" s="43"/>
      <c r="L161" s="43"/>
      <c r="M161" s="43"/>
      <c r="N161" s="43"/>
      <c r="O161" s="43"/>
      <c r="P161" s="43"/>
      <c r="Q161" s="43"/>
      <c r="R161" s="43"/>
      <c r="S161" s="43"/>
    </row>
    <row r="162" spans="2:19" x14ac:dyDescent="0.2">
      <c r="B162" s="32" t="str">
        <f>'General System Parameters'!B16</f>
        <v>c (m/s)</v>
      </c>
      <c r="C162" s="33">
        <f>'General System Parameters'!C16</f>
        <v>299792458</v>
      </c>
      <c r="F162" s="43"/>
      <c r="G162" s="43"/>
      <c r="H162" s="43"/>
      <c r="I162" s="43"/>
      <c r="J162" s="43"/>
      <c r="K162" s="43"/>
      <c r="L162" s="43"/>
      <c r="M162" s="43"/>
      <c r="N162" s="43"/>
      <c r="O162" s="43"/>
      <c r="P162" s="43"/>
      <c r="Q162" s="43"/>
      <c r="R162" s="43"/>
      <c r="S162" s="43"/>
    </row>
    <row r="163" spans="2:19" x14ac:dyDescent="0.2">
      <c r="B163" s="32" t="str">
        <f>'General System Parameters'!B17</f>
        <v>c/2 (m/μs)</v>
      </c>
      <c r="C163" s="33">
        <f>'General System Parameters'!C17</f>
        <v>149.89622900000001</v>
      </c>
      <c r="F163" s="43"/>
      <c r="G163" s="43"/>
      <c r="H163" s="43"/>
      <c r="I163" s="43"/>
      <c r="J163" s="43"/>
      <c r="K163" s="43"/>
      <c r="L163" s="43"/>
      <c r="M163" s="43"/>
      <c r="N163" s="43"/>
      <c r="O163" s="43"/>
      <c r="P163" s="43"/>
      <c r="Q163" s="43"/>
      <c r="R163" s="43"/>
      <c r="S163" s="43"/>
    </row>
    <row r="164" spans="2:19" x14ac:dyDescent="0.2">
      <c r="B164" s="30" t="str">
        <f>'General System Parameters'!B18</f>
        <v>Freq (GHz)</v>
      </c>
      <c r="C164" s="31">
        <f>'General System Parameters'!C18</f>
        <v>3.5</v>
      </c>
      <c r="F164" s="43"/>
      <c r="G164" s="43"/>
      <c r="H164" s="43"/>
      <c r="I164" s="43"/>
      <c r="J164" s="43"/>
      <c r="K164" s="43"/>
      <c r="L164" s="43"/>
      <c r="M164" s="43"/>
      <c r="N164" s="43"/>
      <c r="O164" s="43"/>
      <c r="P164" s="43"/>
      <c r="Q164" s="43"/>
      <c r="R164" s="43"/>
      <c r="S164" s="43"/>
    </row>
    <row r="165" spans="2:19" x14ac:dyDescent="0.2">
      <c r="B165" s="30" t="str">
        <f>'General System Parameters'!B19</f>
        <v>Phase Noise Level (dBc/Hz)</v>
      </c>
      <c r="C165" s="31">
        <f>'General System Parameters'!C19</f>
        <v>-125</v>
      </c>
      <c r="F165" s="43"/>
      <c r="G165" s="43"/>
      <c r="H165" s="43"/>
      <c r="I165" s="43"/>
      <c r="J165" s="43"/>
      <c r="K165" s="43"/>
      <c r="L165" s="43"/>
      <c r="M165" s="43"/>
      <c r="N165" s="43"/>
      <c r="O165" s="43"/>
      <c r="P165" s="43"/>
      <c r="Q165" s="43"/>
      <c r="R165" s="43"/>
      <c r="S165" s="43"/>
    </row>
    <row r="166" spans="2:19" x14ac:dyDescent="0.2">
      <c r="B166" s="30" t="str">
        <f>'General System Parameters'!B20</f>
        <v>Polarization Loss (dB)</v>
      </c>
      <c r="C166" s="31">
        <f>'General System Parameters'!C20</f>
        <v>0</v>
      </c>
      <c r="F166" s="43"/>
      <c r="G166" s="43"/>
      <c r="H166" s="43"/>
      <c r="I166" s="43"/>
      <c r="J166" s="43"/>
      <c r="K166" s="43"/>
      <c r="L166" s="43"/>
      <c r="M166" s="43"/>
      <c r="N166" s="43"/>
      <c r="O166" s="43"/>
      <c r="P166" s="43"/>
      <c r="Q166" s="43"/>
      <c r="R166" s="43"/>
      <c r="S166" s="43"/>
    </row>
    <row r="167" spans="2:19" x14ac:dyDescent="0.2">
      <c r="B167" s="34" t="str">
        <f>'General System Parameters'!B21</f>
        <v>λ (m)</v>
      </c>
      <c r="C167" s="35">
        <f>'General System Parameters'!C21</f>
        <v>8.5654988000000001E-2</v>
      </c>
      <c r="F167" s="43"/>
      <c r="G167" s="43"/>
      <c r="H167" s="43"/>
      <c r="I167" s="43"/>
      <c r="J167" s="43"/>
      <c r="K167" s="43"/>
      <c r="L167" s="43"/>
      <c r="M167" s="43"/>
      <c r="N167" s="43"/>
      <c r="O167" s="43"/>
      <c r="P167" s="43"/>
      <c r="Q167" s="43"/>
      <c r="R167" s="43"/>
      <c r="S167" s="43"/>
    </row>
    <row r="168" spans="2:19" x14ac:dyDescent="0.2">
      <c r="B168" s="34" t="str">
        <f>'General System Parameters'!B22</f>
        <v>Doppler factor (Hz/(m/sec))</v>
      </c>
      <c r="C168" s="35">
        <f>'General System Parameters'!C22</f>
        <v>23.349486663870643</v>
      </c>
      <c r="F168" s="43"/>
      <c r="G168" s="43"/>
      <c r="H168" s="43"/>
      <c r="I168" s="43"/>
      <c r="J168" s="43"/>
      <c r="K168" s="43"/>
      <c r="L168" s="43"/>
      <c r="M168" s="43"/>
      <c r="N168" s="43"/>
      <c r="O168" s="43"/>
      <c r="P168" s="43"/>
      <c r="Q168" s="43"/>
      <c r="R168" s="43"/>
      <c r="S168" s="43"/>
    </row>
    <row r="169" spans="2:19" x14ac:dyDescent="0.2">
      <c r="B169" s="36" t="str">
        <f>'General System Parameters'!B23</f>
        <v>ALC</v>
      </c>
      <c r="C169" s="31">
        <f>'General System Parameters'!C23</f>
        <v>0</v>
      </c>
      <c r="F169" s="43"/>
      <c r="G169" s="43"/>
      <c r="H169" s="43"/>
      <c r="I169" s="43"/>
      <c r="J169" s="43"/>
      <c r="K169" s="43"/>
      <c r="L169" s="43"/>
      <c r="M169" s="43"/>
      <c r="N169" s="43"/>
      <c r="O169" s="43"/>
      <c r="P169" s="43"/>
      <c r="Q169" s="43"/>
      <c r="R169" s="43"/>
      <c r="S169" s="43"/>
    </row>
    <row r="170" spans="2:19" x14ac:dyDescent="0.2">
      <c r="B170" s="36" t="str">
        <f>'General System Parameters'!B24</f>
        <v>Actual System Gain (dB) - 1st Rx</v>
      </c>
      <c r="C170" s="31">
        <f>'General System Parameters'!C24</f>
        <v>60</v>
      </c>
      <c r="F170" s="43"/>
      <c r="G170" s="43"/>
      <c r="H170" s="43"/>
      <c r="I170" s="43"/>
      <c r="J170" s="43"/>
      <c r="K170" s="43"/>
      <c r="L170" s="43"/>
      <c r="M170" s="43"/>
      <c r="N170" s="43"/>
      <c r="O170" s="43"/>
      <c r="P170" s="43"/>
      <c r="Q170" s="43"/>
      <c r="R170" s="43"/>
      <c r="S170" s="43"/>
    </row>
    <row r="171" spans="2:19" x14ac:dyDescent="0.2">
      <c r="B171" s="36" t="str">
        <f>'General System Parameters'!B25</f>
        <v>Actual System Gain (dB) - Ref Rx</v>
      </c>
      <c r="C171" s="31">
        <f>'General System Parameters'!C25</f>
        <v>54</v>
      </c>
      <c r="F171" s="43"/>
      <c r="G171" s="43"/>
      <c r="H171" s="43"/>
      <c r="I171" s="43"/>
      <c r="J171" s="43"/>
      <c r="K171" s="43"/>
      <c r="L171" s="43"/>
      <c r="M171" s="43"/>
      <c r="N171" s="43"/>
      <c r="O171" s="43"/>
      <c r="P171" s="43"/>
      <c r="Q171" s="43"/>
      <c r="R171" s="43"/>
      <c r="S171" s="43"/>
    </row>
    <row r="172" spans="2:19" x14ac:dyDescent="0.2">
      <c r="B172" s="34" t="str">
        <f>'General System Parameters'!B26</f>
        <v>Actual 1st Rx Calibration (dB)</v>
      </c>
      <c r="C172" s="35">
        <f>'General System Parameters'!C26</f>
        <v>4</v>
      </c>
      <c r="F172" s="43"/>
      <c r="G172" s="43"/>
      <c r="H172" s="43"/>
      <c r="I172" s="43"/>
      <c r="J172" s="43"/>
      <c r="K172" s="43"/>
      <c r="L172" s="43"/>
      <c r="M172" s="43"/>
      <c r="N172" s="43"/>
      <c r="O172" s="43"/>
      <c r="P172" s="43"/>
      <c r="Q172" s="43"/>
      <c r="R172" s="43"/>
      <c r="S172" s="43"/>
    </row>
    <row r="173" spans="2:19" x14ac:dyDescent="0.2">
      <c r="B173" s="32" t="str">
        <f>'General System Parameters'!B27</f>
        <v>KT (dBm/Hz)</v>
      </c>
      <c r="C173" s="33">
        <f>'General System Parameters'!C27</f>
        <v>-174</v>
      </c>
      <c r="F173" s="43"/>
      <c r="G173" s="43"/>
      <c r="H173" s="43"/>
      <c r="I173" s="43"/>
      <c r="J173" s="43"/>
      <c r="K173" s="43"/>
      <c r="L173" s="43"/>
      <c r="M173" s="43"/>
      <c r="N173" s="43"/>
      <c r="O173" s="43"/>
      <c r="P173" s="43"/>
      <c r="Q173" s="43"/>
      <c r="R173" s="43"/>
      <c r="S173" s="43"/>
    </row>
    <row r="174" spans="2:19" x14ac:dyDescent="0.2">
      <c r="B174" s="32" t="str">
        <f>'General System Parameters'!B28</f>
        <v>Sample Period (us)</v>
      </c>
      <c r="C174" s="33">
        <f>'General System Parameters'!C28</f>
        <v>1.2500000000000001E-2</v>
      </c>
      <c r="F174" s="43"/>
      <c r="G174" s="43"/>
      <c r="H174" s="43"/>
      <c r="I174" s="43"/>
      <c r="J174" s="43"/>
      <c r="K174" s="43"/>
      <c r="L174" s="43"/>
      <c r="M174" s="43"/>
      <c r="N174" s="43"/>
      <c r="O174" s="43"/>
      <c r="P174" s="43"/>
      <c r="Q174" s="43"/>
      <c r="R174" s="43"/>
      <c r="S174" s="43"/>
    </row>
    <row r="175" spans="2:19" x14ac:dyDescent="0.2">
      <c r="B175" s="37" t="str">
        <f>'General System Parameters'!B29</f>
        <v>ADC Bandwidth (MHz)</v>
      </c>
      <c r="C175" s="35">
        <f>'General System Parameters'!C29</f>
        <v>40</v>
      </c>
      <c r="F175" s="43"/>
      <c r="G175" s="43"/>
      <c r="H175" s="43"/>
      <c r="I175" s="43"/>
      <c r="J175" s="43"/>
      <c r="K175" s="43"/>
      <c r="L175" s="43"/>
      <c r="M175" s="43"/>
      <c r="N175" s="43"/>
      <c r="O175" s="43"/>
      <c r="P175" s="43"/>
      <c r="Q175" s="43"/>
      <c r="R175" s="43"/>
      <c r="S175" s="43"/>
    </row>
    <row r="176" spans="2:19" x14ac:dyDescent="0.2">
      <c r="B176" s="32" t="str">
        <f>'General System Parameters'!B30</f>
        <v>ADC Noise Level (dBm)</v>
      </c>
      <c r="C176" s="33">
        <f>'General System Parameters'!C30</f>
        <v>-65</v>
      </c>
      <c r="F176" s="43"/>
      <c r="G176" s="43"/>
      <c r="H176" s="43"/>
      <c r="I176" s="43"/>
      <c r="J176" s="43"/>
      <c r="K176" s="43"/>
      <c r="L176" s="43"/>
      <c r="M176" s="43"/>
      <c r="N176" s="43"/>
      <c r="O176" s="43"/>
      <c r="P176" s="43"/>
      <c r="Q176" s="43"/>
      <c r="R176" s="43"/>
      <c r="S176" s="43"/>
    </row>
    <row r="177" spans="2:19" x14ac:dyDescent="0.2">
      <c r="B177" s="32" t="str">
        <f>'General System Parameters'!B31</f>
        <v>Tapering Signal Gain Loss (dB) - 1st Rx</v>
      </c>
      <c r="C177" s="33">
        <f>'General System Parameters'!C31</f>
        <v>3.51</v>
      </c>
      <c r="F177" s="43"/>
      <c r="G177" s="43"/>
      <c r="H177" s="43"/>
      <c r="I177" s="43"/>
      <c r="J177" s="43"/>
      <c r="K177" s="43"/>
      <c r="L177" s="43"/>
      <c r="M177" s="43"/>
      <c r="N177" s="43"/>
      <c r="O177" s="43"/>
      <c r="P177" s="43"/>
      <c r="Q177" s="43"/>
      <c r="R177" s="43"/>
      <c r="S177" s="43"/>
    </row>
    <row r="178" spans="2:19" x14ac:dyDescent="0.2">
      <c r="B178" s="32" t="str">
        <f>'General System Parameters'!B32</f>
        <v>Tapering Noise Gain Loss (dB) - 1st Rx</v>
      </c>
      <c r="C178" s="33">
        <f>'General System Parameters'!C32</f>
        <v>3.1337000000000002</v>
      </c>
      <c r="F178" s="43"/>
      <c r="G178" s="43"/>
      <c r="H178" s="43"/>
      <c r="I178" s="43"/>
      <c r="J178" s="43"/>
      <c r="K178" s="43"/>
      <c r="L178" s="43"/>
      <c r="M178" s="43"/>
      <c r="N178" s="43"/>
      <c r="O178" s="43"/>
      <c r="P178" s="43"/>
      <c r="Q178" s="43"/>
      <c r="R178" s="43"/>
      <c r="S178" s="43"/>
    </row>
    <row r="179" spans="2:19" x14ac:dyDescent="0.2">
      <c r="B179" s="32" t="str">
        <f>'General System Parameters'!B33</f>
        <v>Tapering Signal Gain Loss (dB) - Ref (Guard) Rx</v>
      </c>
      <c r="C179" s="33">
        <f>'General System Parameters'!C33</f>
        <v>0</v>
      </c>
      <c r="F179" s="43"/>
      <c r="G179" s="43"/>
      <c r="H179" s="43"/>
      <c r="I179" s="43"/>
      <c r="J179" s="43"/>
      <c r="K179" s="43"/>
      <c r="L179" s="43"/>
      <c r="M179" s="43"/>
      <c r="N179" s="43"/>
      <c r="O179" s="43"/>
      <c r="P179" s="43"/>
      <c r="Q179" s="43"/>
      <c r="R179" s="43"/>
      <c r="S179" s="43"/>
    </row>
    <row r="180" spans="2:19" x14ac:dyDescent="0.2">
      <c r="B180" s="32" t="str">
        <f>'General System Parameters'!B34</f>
        <v>Tapering Noise Gain Loss (dB) - Ref (Guard) Rx</v>
      </c>
      <c r="C180" s="33">
        <f>'General System Parameters'!C34</f>
        <v>0</v>
      </c>
      <c r="F180" s="43"/>
      <c r="G180" s="43"/>
      <c r="H180" s="43"/>
      <c r="I180" s="43"/>
      <c r="J180" s="43"/>
      <c r="K180" s="43"/>
      <c r="L180" s="43"/>
      <c r="M180" s="43"/>
      <c r="N180" s="43"/>
      <c r="O180" s="43"/>
      <c r="P180" s="43"/>
      <c r="Q180" s="43"/>
      <c r="R180" s="43"/>
      <c r="S180" s="43"/>
    </row>
    <row r="181" spans="2:19" x14ac:dyDescent="0.2">
      <c r="B181" s="37" t="str">
        <f>'General System Parameters'!B35</f>
        <v>Tapering Rx Loss (dB)</v>
      </c>
      <c r="C181" s="35">
        <f>'General System Parameters'!C35</f>
        <v>0.37629999999999963</v>
      </c>
      <c r="F181" s="43"/>
      <c r="G181" s="43"/>
      <c r="H181" s="43"/>
      <c r="I181" s="43"/>
      <c r="J181" s="43"/>
      <c r="K181" s="43"/>
      <c r="L181" s="43"/>
      <c r="M181" s="43"/>
      <c r="N181" s="43"/>
      <c r="O181" s="43"/>
      <c r="P181" s="43"/>
      <c r="Q181" s="43"/>
      <c r="R181" s="43"/>
      <c r="S181" s="43"/>
    </row>
    <row r="182" spans="2:19" x14ac:dyDescent="0.2">
      <c r="B182" s="30" t="str">
        <f>'General System Parameters'!B36</f>
        <v>Number of T/R modules</v>
      </c>
      <c r="C182" s="31">
        <f>'General System Parameters'!C36</f>
        <v>41</v>
      </c>
      <c r="F182" s="43"/>
      <c r="G182" s="43"/>
      <c r="H182" s="43"/>
      <c r="I182" s="43"/>
      <c r="J182" s="43"/>
      <c r="K182" s="43"/>
      <c r="L182" s="43"/>
      <c r="M182" s="43"/>
      <c r="N182" s="43"/>
      <c r="O182" s="43"/>
      <c r="P182" s="43"/>
      <c r="Q182" s="43"/>
      <c r="R182" s="43"/>
      <c r="S182" s="43"/>
    </row>
    <row r="183" spans="2:19" x14ac:dyDescent="0.2">
      <c r="B183" s="30" t="str">
        <f>'General System Parameters'!B37</f>
        <v>Power per T/R module</v>
      </c>
      <c r="C183" s="31">
        <f>'General System Parameters'!C37</f>
        <v>10</v>
      </c>
      <c r="F183" s="43"/>
      <c r="G183" s="43"/>
      <c r="H183" s="43"/>
      <c r="I183" s="43"/>
      <c r="J183" s="43"/>
      <c r="K183" s="43"/>
      <c r="L183" s="43"/>
      <c r="M183" s="43"/>
      <c r="N183" s="43"/>
      <c r="O183" s="43"/>
      <c r="P183" s="43"/>
      <c r="Q183" s="43"/>
      <c r="R183" s="43"/>
      <c r="S183" s="43"/>
    </row>
    <row r="184" spans="2:19" x14ac:dyDescent="0.2">
      <c r="B184" s="30" t="str">
        <f>'General System Parameters'!B38</f>
        <v>Gain per T/R module [dB]</v>
      </c>
      <c r="C184" s="31">
        <f>'General System Parameters'!C38</f>
        <v>5</v>
      </c>
      <c r="F184" s="43"/>
      <c r="G184" s="43"/>
      <c r="H184" s="43"/>
      <c r="I184" s="43"/>
      <c r="J184" s="43"/>
      <c r="K184" s="43"/>
      <c r="L184" s="43"/>
      <c r="M184" s="43"/>
      <c r="N184" s="43"/>
      <c r="O184" s="43"/>
      <c r="P184" s="43"/>
      <c r="Q184" s="43"/>
      <c r="R184" s="43"/>
      <c r="S184" s="43"/>
    </row>
    <row r="185" spans="2:19" x14ac:dyDescent="0.2">
      <c r="B185" s="37" t="str">
        <f>'General System Parameters'!B39</f>
        <v>Available Power (dBm)</v>
      </c>
      <c r="C185" s="35">
        <f>'General System Parameters'!C39</f>
        <v>56.127838567197358</v>
      </c>
      <c r="F185" s="43"/>
      <c r="G185" s="43"/>
      <c r="H185" s="43"/>
      <c r="I185" s="43"/>
      <c r="J185" s="43"/>
      <c r="K185" s="43"/>
      <c r="L185" s="43"/>
      <c r="M185" s="43"/>
      <c r="N185" s="43"/>
      <c r="O185" s="43"/>
      <c r="P185" s="43"/>
      <c r="Q185" s="43"/>
      <c r="R185" s="43"/>
      <c r="S185" s="43"/>
    </row>
    <row r="186" spans="2:19" x14ac:dyDescent="0.2">
      <c r="B186" s="37" t="str">
        <f>'General System Parameters'!B40</f>
        <v>Gt,Gr</v>
      </c>
      <c r="C186" s="35">
        <f>'General System Parameters'!C40</f>
        <v>21.127838567197355</v>
      </c>
      <c r="F186" s="43"/>
      <c r="G186" s="43"/>
      <c r="H186" s="43"/>
      <c r="I186" s="43"/>
      <c r="J186" s="43"/>
      <c r="K186" s="43"/>
      <c r="L186" s="43"/>
      <c r="M186" s="43"/>
      <c r="N186" s="43"/>
      <c r="O186" s="43"/>
      <c r="P186" s="43"/>
      <c r="Q186" s="43"/>
      <c r="R186" s="43"/>
      <c r="S186" s="43"/>
    </row>
    <row r="187" spans="2:19" x14ac:dyDescent="0.2">
      <c r="B187" s="37" t="str">
        <f>'General System Parameters'!B41</f>
        <v>Gr - 1st Rx</v>
      </c>
      <c r="C187" s="35">
        <f>'General System Parameters'!C41</f>
        <v>15</v>
      </c>
      <c r="F187" s="43"/>
      <c r="G187" s="43"/>
      <c r="H187" s="43"/>
      <c r="I187" s="43"/>
      <c r="J187" s="43"/>
      <c r="K187" s="43"/>
      <c r="L187" s="43"/>
      <c r="M187" s="43"/>
      <c r="N187" s="43"/>
      <c r="O187" s="43"/>
      <c r="P187" s="43"/>
      <c r="Q187" s="43"/>
      <c r="R187" s="43"/>
      <c r="S187" s="43"/>
    </row>
    <row r="188" spans="2:19" x14ac:dyDescent="0.2">
      <c r="B188" s="37" t="str">
        <f>'General System Parameters'!B42</f>
        <v>Gr - Ref (Guard) Rx</v>
      </c>
      <c r="C188" s="35">
        <f>'General System Parameters'!C42</f>
        <v>5</v>
      </c>
      <c r="F188" s="43"/>
      <c r="G188" s="43"/>
      <c r="H188" s="43"/>
      <c r="I188" s="43"/>
      <c r="J188" s="43"/>
      <c r="K188" s="43"/>
      <c r="L188" s="43"/>
      <c r="M188" s="43"/>
      <c r="N188" s="43"/>
      <c r="O188" s="43"/>
      <c r="P188" s="43"/>
      <c r="Q188" s="43"/>
      <c r="R188" s="43"/>
      <c r="S188" s="43"/>
    </row>
    <row r="189" spans="2:19" x14ac:dyDescent="0.2">
      <c r="B189" s="37" t="str">
        <f>'General System Parameters'!B43</f>
        <v>λ2 (dB/m2)</v>
      </c>
      <c r="C189" s="35">
        <f>'General System Parameters'!C43</f>
        <v>-21.344946828446961</v>
      </c>
      <c r="F189" s="43"/>
      <c r="G189" s="43"/>
      <c r="H189" s="43"/>
      <c r="I189" s="43"/>
      <c r="J189" s="43"/>
      <c r="K189" s="43"/>
      <c r="L189" s="43"/>
      <c r="M189" s="43"/>
      <c r="N189" s="43"/>
      <c r="O189" s="43"/>
      <c r="P189" s="43"/>
      <c r="Q189" s="43"/>
      <c r="R189" s="43"/>
      <c r="S189" s="43"/>
    </row>
    <row r="190" spans="2:19" x14ac:dyDescent="0.2">
      <c r="B190" s="34" t="str">
        <f>'General System Parameters'!B44</f>
        <v>(4p)^3 (dB)</v>
      </c>
      <c r="C190" s="35">
        <f>'General System Parameters'!C44</f>
        <v>32.976295920662885</v>
      </c>
      <c r="F190" s="43"/>
      <c r="G190" s="43"/>
      <c r="H190" s="43"/>
      <c r="I190" s="43"/>
      <c r="J190" s="43"/>
      <c r="K190" s="43"/>
      <c r="L190" s="43"/>
      <c r="M190" s="43"/>
      <c r="N190" s="43"/>
      <c r="O190" s="43"/>
      <c r="P190" s="43"/>
      <c r="Q190" s="43"/>
      <c r="R190" s="43"/>
      <c r="S190" s="43"/>
    </row>
    <row r="191" spans="2:19" x14ac:dyDescent="0.2">
      <c r="B191" s="34" t="str">
        <f>'General System Parameters'!B45</f>
        <v>Miscellaneous Losses (dB)</v>
      </c>
      <c r="C191" s="35">
        <f>'General System Parameters'!C45</f>
        <v>0</v>
      </c>
      <c r="F191" s="43"/>
      <c r="G191" s="43"/>
      <c r="H191" s="43"/>
      <c r="I191" s="43"/>
      <c r="J191" s="43"/>
      <c r="K191" s="43"/>
      <c r="L191" s="43"/>
      <c r="M191" s="43"/>
      <c r="N191" s="43"/>
      <c r="O191" s="43"/>
      <c r="P191" s="43"/>
      <c r="Q191" s="43"/>
      <c r="R191" s="43"/>
      <c r="S191" s="43"/>
    </row>
    <row r="192" spans="2:19" x14ac:dyDescent="0.2">
      <c r="B192" s="36" t="str">
        <f>'General System Parameters'!B46</f>
        <v>FFT Window: BH</v>
      </c>
      <c r="C192" s="31" t="str">
        <f>'General System Parameters'!C46</f>
        <v>BH</v>
      </c>
      <c r="F192" s="43"/>
      <c r="G192" s="43"/>
      <c r="H192" s="43"/>
      <c r="I192" s="43"/>
      <c r="J192" s="43"/>
      <c r="K192" s="43"/>
      <c r="L192" s="43"/>
      <c r="M192" s="43"/>
      <c r="N192" s="43"/>
      <c r="O192" s="43"/>
      <c r="P192" s="43"/>
      <c r="Q192" s="43"/>
      <c r="R192" s="43"/>
      <c r="S192" s="43"/>
    </row>
    <row r="193" spans="2:19" x14ac:dyDescent="0.2">
      <c r="B193" s="34" t="str">
        <f>'General System Parameters'!B47</f>
        <v>Signal Gain Loss (dB)</v>
      </c>
      <c r="C193" s="35">
        <f>'General System Parameters'!C47</f>
        <v>8.9499999999999993</v>
      </c>
      <c r="F193" s="43"/>
      <c r="G193" s="43"/>
      <c r="H193" s="43"/>
      <c r="I193" s="43"/>
      <c r="J193" s="43"/>
      <c r="K193" s="43"/>
      <c r="L193" s="43"/>
      <c r="M193" s="43"/>
      <c r="N193" s="43"/>
      <c r="O193" s="43"/>
      <c r="P193" s="43"/>
      <c r="Q193" s="43"/>
      <c r="R193" s="43"/>
      <c r="S193" s="43"/>
    </row>
    <row r="194" spans="2:19" x14ac:dyDescent="0.2">
      <c r="B194" s="34" t="str">
        <f>'General System Parameters'!B48</f>
        <v>Noise Gain Loss (dB)</v>
      </c>
      <c r="C194" s="35">
        <f>'General System Parameters'!C48</f>
        <v>5.9</v>
      </c>
      <c r="F194" s="43"/>
      <c r="G194" s="43"/>
      <c r="H194" s="43"/>
      <c r="I194" s="43"/>
      <c r="J194" s="43"/>
      <c r="K194" s="43"/>
      <c r="L194" s="43"/>
      <c r="M194" s="43"/>
      <c r="N194" s="43"/>
      <c r="O194" s="43"/>
      <c r="P194" s="43"/>
      <c r="Q194" s="43"/>
      <c r="R194" s="43"/>
      <c r="S194" s="43"/>
    </row>
    <row r="195" spans="2:19" x14ac:dyDescent="0.2">
      <c r="B195" s="34" t="str">
        <f>'General System Parameters'!B49</f>
        <v>Normalized ENBW (dB)</v>
      </c>
      <c r="C195" s="35">
        <f>'General System Parameters'!C49</f>
        <v>3.0499999999999989</v>
      </c>
      <c r="F195" s="43"/>
      <c r="G195" s="43"/>
      <c r="H195" s="43"/>
      <c r="I195" s="43"/>
      <c r="J195" s="43"/>
      <c r="K195" s="43"/>
      <c r="L195" s="43"/>
      <c r="M195" s="43"/>
      <c r="N195" s="43"/>
      <c r="O195" s="43"/>
      <c r="P195" s="43"/>
      <c r="Q195" s="43"/>
      <c r="R195" s="43"/>
      <c r="S195" s="43"/>
    </row>
    <row r="196" spans="2:19" x14ac:dyDescent="0.2">
      <c r="B196" s="34" t="str">
        <f>'General System Parameters'!B50</f>
        <v>Window 3dB BW (bins)</v>
      </c>
      <c r="C196" s="35">
        <f>'General System Parameters'!C50</f>
        <v>1.9</v>
      </c>
      <c r="F196" s="43"/>
      <c r="G196" s="43"/>
      <c r="H196" s="43"/>
      <c r="I196" s="43"/>
      <c r="J196" s="43"/>
      <c r="K196" s="43"/>
      <c r="L196" s="43"/>
      <c r="M196" s="43"/>
      <c r="N196" s="43"/>
      <c r="O196" s="43"/>
      <c r="P196" s="43"/>
      <c r="Q196" s="43"/>
      <c r="R196" s="43"/>
      <c r="S196" s="43"/>
    </row>
    <row r="197" spans="2:19" x14ac:dyDescent="0.2">
      <c r="B197" s="34" t="str">
        <f>'General System Parameters'!B51</f>
        <v>Window 6dB BW (bins)</v>
      </c>
      <c r="C197" s="35">
        <f>'General System Parameters'!C51</f>
        <v>2.72</v>
      </c>
      <c r="F197" s="43"/>
      <c r="G197" s="43"/>
      <c r="H197" s="43"/>
      <c r="I197" s="43"/>
      <c r="J197" s="43"/>
      <c r="K197" s="43"/>
      <c r="L197" s="43"/>
      <c r="M197" s="43"/>
      <c r="N197" s="43"/>
      <c r="O197" s="43"/>
      <c r="P197" s="43"/>
      <c r="Q197" s="43"/>
      <c r="R197" s="43"/>
      <c r="S197" s="43"/>
    </row>
    <row r="198" spans="2:19" x14ac:dyDescent="0.2">
      <c r="B198" s="34" t="str">
        <f>'General System Parameters'!B52</f>
        <v>Scallop Loss (dB)</v>
      </c>
      <c r="C198" s="35">
        <f>'General System Parameters'!C52</f>
        <v>0.41278500000000001</v>
      </c>
      <c r="F198" s="43"/>
      <c r="G198" s="43"/>
      <c r="H198" s="43"/>
      <c r="I198" s="43"/>
      <c r="J198" s="43"/>
      <c r="K198" s="43"/>
      <c r="L198" s="43"/>
      <c r="M198" s="43"/>
      <c r="N198" s="43"/>
      <c r="O198" s="43"/>
      <c r="P198" s="43"/>
      <c r="Q198" s="43"/>
      <c r="R198" s="43"/>
      <c r="S198" s="43"/>
    </row>
    <row r="199" spans="2:19" x14ac:dyDescent="0.2">
      <c r="B199" s="32" t="str">
        <f>'General System Parameters'!B53</f>
        <v>Rectangular 6dB BW (bins)</v>
      </c>
      <c r="C199" s="33">
        <f>'General System Parameters'!C53</f>
        <v>1.21</v>
      </c>
      <c r="F199" s="43"/>
      <c r="G199" s="43"/>
      <c r="H199" s="43"/>
      <c r="I199" s="43"/>
      <c r="J199" s="43"/>
      <c r="K199" s="43"/>
      <c r="L199" s="43"/>
      <c r="M199" s="43"/>
      <c r="N199" s="43"/>
      <c r="O199" s="43"/>
      <c r="P199" s="43"/>
      <c r="Q199" s="43"/>
      <c r="R199" s="43"/>
      <c r="S199" s="43"/>
    </row>
    <row r="200" spans="2:19" x14ac:dyDescent="0.2">
      <c r="B200" s="34" t="str">
        <f>'General System Parameters'!B54</f>
        <v>Window Peak Spreading (bins)</v>
      </c>
      <c r="C200" s="35">
        <f>'General System Parameters'!C54</f>
        <v>9</v>
      </c>
      <c r="F200" s="43"/>
      <c r="G200" s="43"/>
      <c r="H200" s="43"/>
      <c r="I200" s="43"/>
      <c r="J200" s="43"/>
      <c r="K200" s="43"/>
      <c r="L200" s="43"/>
      <c r="M200" s="43"/>
      <c r="N200" s="43"/>
      <c r="O200" s="43"/>
      <c r="P200" s="43"/>
      <c r="Q200" s="43"/>
      <c r="R200" s="43"/>
      <c r="S200" s="43"/>
    </row>
    <row r="201" spans="2:19" x14ac:dyDescent="0.2">
      <c r="B201" s="36" t="str">
        <f>'General System Parameters'!B55</f>
        <v>#samples for noise estimation</v>
      </c>
      <c r="C201" s="31">
        <f>'General System Parameters'!C55</f>
        <v>12</v>
      </c>
      <c r="F201" s="43"/>
      <c r="G201" s="43"/>
      <c r="H201" s="43"/>
      <c r="I201" s="43"/>
      <c r="J201" s="43"/>
      <c r="K201" s="43"/>
      <c r="L201" s="43"/>
      <c r="M201" s="43"/>
      <c r="N201" s="43"/>
      <c r="O201" s="43"/>
      <c r="P201" s="43"/>
      <c r="Q201" s="43"/>
      <c r="R201" s="43"/>
      <c r="S201" s="43"/>
    </row>
    <row r="202" spans="2:19" x14ac:dyDescent="0.2">
      <c r="B202" s="34" t="str">
        <f>'General System Parameters'!B56</f>
        <v>Straddling Loss (dB) - w/o OL</v>
      </c>
      <c r="C202" s="35">
        <f>'General System Parameters'!C56</f>
        <v>3</v>
      </c>
    </row>
    <row r="203" spans="2:19" x14ac:dyDescent="0.2">
      <c r="B203" s="34" t="str">
        <f>'General System Parameters'!B57</f>
        <v>Straddling Loss (dB) - with 50% OL</v>
      </c>
      <c r="C203" s="35">
        <f>'General System Parameters'!C57</f>
        <v>1.25</v>
      </c>
    </row>
    <row r="204" spans="2:19" x14ac:dyDescent="0.2">
      <c r="B204" s="30" t="str">
        <f>'General System Parameters'!B58</f>
        <v>Freq Desynchronization factor (ppb)</v>
      </c>
      <c r="C204" s="31">
        <f>'General System Parameters'!C58</f>
        <v>5</v>
      </c>
    </row>
    <row r="205" spans="2:19" x14ac:dyDescent="0.2">
      <c r="B205" s="34" t="str">
        <f>'General System Parameters'!B59</f>
        <v>Freq Desynchronization factor (Hz)</v>
      </c>
      <c r="C205" s="35">
        <f>'General System Parameters'!C59</f>
        <v>17.5</v>
      </c>
    </row>
    <row r="206" spans="2:19" x14ac:dyDescent="0.2">
      <c r="B206" s="34" t="str">
        <f>'General System Parameters'!B60</f>
        <v>Freq Desynchronization factor (m/s)</v>
      </c>
      <c r="C206" s="35">
        <f>'General System Parameters'!C60</f>
        <v>0.74948114500000007</v>
      </c>
    </row>
    <row r="207" spans="2:19" x14ac:dyDescent="0.2">
      <c r="B207" s="30" t="str">
        <f>'General System Parameters'!B61</f>
        <v>Time Desynchronization factor (ppm)</v>
      </c>
      <c r="C207" s="31">
        <f>'General System Parameters'!C61</f>
        <v>0.2</v>
      </c>
    </row>
    <row r="208" spans="2:19" x14ac:dyDescent="0.2">
      <c r="B208" s="30" t="str">
        <f>'General System Parameters'!B62</f>
        <v>Synchronization window per seq (μs)</v>
      </c>
      <c r="C208" s="31">
        <f>'General System Parameters'!C62</f>
        <v>0.1</v>
      </c>
    </row>
    <row r="209" spans="2:3" x14ac:dyDescent="0.2">
      <c r="B209" s="117" t="str">
        <f>'General System Parameters'!B63</f>
        <v>#RG in Optimized Mode (one side)</v>
      </c>
      <c r="C209" s="118">
        <f>'General System Parameters'!C63</f>
        <v>7</v>
      </c>
    </row>
    <row r="210" spans="2:3" x14ac:dyDescent="0.2">
      <c r="B210" s="30" t="str">
        <f>'General System Parameters'!B64</f>
        <v>Total #RG in Optimized Mode</v>
      </c>
      <c r="C210" s="31">
        <f>'General System Parameters'!C64</f>
        <v>15</v>
      </c>
    </row>
  </sheetData>
  <mergeCells count="4">
    <mergeCell ref="B150:D150"/>
    <mergeCell ref="C1:D1"/>
    <mergeCell ref="E1:T1"/>
    <mergeCell ref="B145:D145"/>
  </mergeCells>
  <conditionalFormatting sqref="C61:D61">
    <cfRule type="cellIs" dxfId="7" priority="5" operator="greaterThan">
      <formula>3</formula>
    </cfRule>
  </conditionalFormatting>
  <conditionalFormatting sqref="C49">
    <cfRule type="cellIs" dxfId="6" priority="3" operator="greaterThan">
      <formula>"2&amp;&amp;$C$57&gt;$C$58"</formula>
    </cfRule>
  </conditionalFormatting>
  <conditionalFormatting sqref="C59">
    <cfRule type="expression" dxfId="5" priority="2">
      <formula>AND(C$59 &gt; C$50, C$49&gt;1)</formula>
    </cfRule>
  </conditionalFormatting>
  <conditionalFormatting sqref="D59">
    <cfRule type="expression" dxfId="4" priority="1">
      <formula>AND(D$59 &gt; D$50, D$49&gt;1)</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Z210"/>
  <sheetViews>
    <sheetView topLeftCell="A49" workbookViewId="0">
      <selection activeCell="J94" sqref="J94"/>
    </sheetView>
  </sheetViews>
  <sheetFormatPr defaultColWidth="9.125" defaultRowHeight="14.25" x14ac:dyDescent="0.2"/>
  <cols>
    <col min="1" max="1" width="12" style="6" customWidth="1"/>
    <col min="2" max="2" width="40.125" style="10" bestFit="1" customWidth="1"/>
    <col min="3" max="4" width="11.75" style="22" customWidth="1"/>
    <col min="5" max="54" width="6.75" style="6" customWidth="1"/>
    <col min="55" max="16384" width="9.125" style="6"/>
  </cols>
  <sheetData>
    <row r="1" spans="1:78" s="22" customFormat="1" ht="59.25" customHeight="1" x14ac:dyDescent="0.2">
      <c r="A1" s="88" t="s">
        <v>83</v>
      </c>
      <c r="B1" s="120" t="str">
        <f>'Parameters List'!B1</f>
        <v>Parameter Description</v>
      </c>
      <c r="C1" s="142" t="s">
        <v>31</v>
      </c>
      <c r="D1" s="143"/>
      <c r="E1" s="144" t="s">
        <v>32</v>
      </c>
      <c r="F1" s="144"/>
      <c r="G1" s="144"/>
      <c r="H1" s="144"/>
      <c r="I1" s="144"/>
      <c r="J1" s="144"/>
      <c r="K1" s="144"/>
      <c r="L1" s="144"/>
      <c r="M1" s="144"/>
      <c r="N1" s="144"/>
      <c r="O1" s="144"/>
      <c r="P1" s="144"/>
      <c r="Q1" s="144"/>
      <c r="R1" s="144"/>
      <c r="S1" s="144"/>
      <c r="T1" s="144"/>
    </row>
    <row r="2" spans="1:78" s="22" customFormat="1" ht="15" x14ac:dyDescent="0.2">
      <c r="A2" s="89"/>
      <c r="B2" s="54"/>
      <c r="C2" s="49"/>
      <c r="D2" s="49"/>
      <c r="E2" s="41"/>
      <c r="F2" s="41"/>
      <c r="G2" s="41"/>
      <c r="H2" s="41"/>
      <c r="I2" s="41"/>
      <c r="J2" s="41"/>
      <c r="K2" s="41"/>
      <c r="L2" s="41"/>
      <c r="M2" s="42"/>
      <c r="N2" s="42"/>
      <c r="O2" s="42"/>
      <c r="P2" s="42"/>
      <c r="Q2" s="42"/>
      <c r="R2" s="42"/>
      <c r="S2" s="42"/>
      <c r="T2" s="42"/>
    </row>
    <row r="3" spans="1:78" s="47" customFormat="1" ht="15" x14ac:dyDescent="0.2">
      <c r="A3" s="91">
        <v>3</v>
      </c>
      <c r="B3" s="44" t="str">
        <f>'Parameters List'!B3</f>
        <v>Proc. Chan. 1 - Steers Definition</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ht="15" x14ac:dyDescent="0.2">
      <c r="A4" s="91" t="s">
        <v>78</v>
      </c>
      <c r="B4" s="44" t="str">
        <f>'Parameters List'!B4</f>
        <v>Antenna Number (1 or 2)</v>
      </c>
      <c r="C4" s="49"/>
      <c r="D4" s="49"/>
      <c r="E4" s="50">
        <v>1</v>
      </c>
      <c r="F4" s="50">
        <v>1</v>
      </c>
      <c r="G4" s="50">
        <v>1</v>
      </c>
      <c r="H4" s="50">
        <v>1</v>
      </c>
      <c r="I4" s="50">
        <v>1</v>
      </c>
      <c r="J4" s="50">
        <v>1</v>
      </c>
      <c r="K4" s="50">
        <v>1</v>
      </c>
      <c r="L4" s="50">
        <v>1</v>
      </c>
      <c r="M4" s="50">
        <v>1</v>
      </c>
      <c r="N4" s="50">
        <v>1</v>
      </c>
      <c r="O4" s="50">
        <v>1</v>
      </c>
      <c r="P4" s="50">
        <v>1</v>
      </c>
      <c r="Q4" s="50">
        <v>1</v>
      </c>
      <c r="R4" s="50">
        <v>1</v>
      </c>
      <c r="S4" s="50">
        <v>1</v>
      </c>
      <c r="T4" s="50">
        <v>1</v>
      </c>
      <c r="U4" s="50">
        <v>1</v>
      </c>
      <c r="V4" s="50">
        <v>1</v>
      </c>
      <c r="W4" s="50">
        <v>1</v>
      </c>
      <c r="X4" s="50">
        <v>1</v>
      </c>
      <c r="Y4" s="50">
        <v>1</v>
      </c>
      <c r="Z4" s="50">
        <v>1</v>
      </c>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ht="15" x14ac:dyDescent="0.2">
      <c r="A5" s="91" t="s">
        <v>78</v>
      </c>
      <c r="B5" s="44" t="str">
        <f>'Parameters List'!B5</f>
        <v>Steer Az (clockwise - positive)</v>
      </c>
      <c r="C5" s="49"/>
      <c r="D5" s="49"/>
      <c r="E5" s="50">
        <v>-37.5</v>
      </c>
      <c r="F5" s="50">
        <v>-29.5</v>
      </c>
      <c r="G5" s="50">
        <v>-21.5</v>
      </c>
      <c r="H5" s="50">
        <v>-13.5</v>
      </c>
      <c r="I5" s="50">
        <v>-5.5</v>
      </c>
      <c r="J5" s="50">
        <v>2.5</v>
      </c>
      <c r="K5" s="50">
        <v>10.5</v>
      </c>
      <c r="L5" s="50">
        <v>18.5</v>
      </c>
      <c r="M5" s="50">
        <v>26.5</v>
      </c>
      <c r="N5" s="50">
        <v>34.5</v>
      </c>
      <c r="O5" s="50">
        <v>42.5</v>
      </c>
      <c r="P5" s="50">
        <v>-42.5</v>
      </c>
      <c r="Q5" s="50">
        <v>-34.5</v>
      </c>
      <c r="R5" s="50">
        <v>-26.5</v>
      </c>
      <c r="S5" s="50">
        <v>-18.5</v>
      </c>
      <c r="T5" s="50">
        <v>-10.5</v>
      </c>
      <c r="U5" s="50">
        <v>-2.5</v>
      </c>
      <c r="V5" s="50">
        <v>5.5</v>
      </c>
      <c r="W5" s="50">
        <v>13.5</v>
      </c>
      <c r="X5" s="50">
        <v>21.5</v>
      </c>
      <c r="Y5" s="50">
        <v>29.5</v>
      </c>
      <c r="Z5" s="50">
        <v>37.5</v>
      </c>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ht="15" x14ac:dyDescent="0.2">
      <c r="A6" s="91" t="s">
        <v>78</v>
      </c>
      <c r="B6" s="44" t="str">
        <f>'Parameters List'!B6</f>
        <v>Steer El (up - positive)</v>
      </c>
      <c r="C6" s="49"/>
      <c r="D6" s="49"/>
      <c r="E6" s="50">
        <v>5</v>
      </c>
      <c r="F6" s="50">
        <v>5</v>
      </c>
      <c r="G6" s="50">
        <v>5</v>
      </c>
      <c r="H6" s="50">
        <v>5</v>
      </c>
      <c r="I6" s="50">
        <v>5</v>
      </c>
      <c r="J6" s="50">
        <v>5</v>
      </c>
      <c r="K6" s="50">
        <v>5</v>
      </c>
      <c r="L6" s="50">
        <v>5</v>
      </c>
      <c r="M6" s="50">
        <v>5</v>
      </c>
      <c r="N6" s="50">
        <v>5</v>
      </c>
      <c r="O6" s="50">
        <v>5</v>
      </c>
      <c r="P6" s="50">
        <v>13</v>
      </c>
      <c r="Q6" s="50">
        <v>13</v>
      </c>
      <c r="R6" s="50">
        <v>13</v>
      </c>
      <c r="S6" s="50">
        <v>13</v>
      </c>
      <c r="T6" s="50">
        <v>13</v>
      </c>
      <c r="U6" s="50">
        <v>13</v>
      </c>
      <c r="V6" s="50">
        <v>13</v>
      </c>
      <c r="W6" s="50">
        <v>13</v>
      </c>
      <c r="X6" s="50">
        <v>13</v>
      </c>
      <c r="Y6" s="50">
        <v>13</v>
      </c>
      <c r="Z6" s="50">
        <v>13</v>
      </c>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92"/>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91">
        <v>3</v>
      </c>
      <c r="B8" s="44" t="str">
        <f>'Parameters List'!B8</f>
        <v>Proc. Chan. 2 - Steers Definition</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ht="15" x14ac:dyDescent="0.2">
      <c r="A9" s="91" t="s">
        <v>78</v>
      </c>
      <c r="B9" s="44" t="str">
        <f>'Parameters List'!B9</f>
        <v>Antenna Number (1 or 2)</v>
      </c>
      <c r="C9" s="49"/>
      <c r="D9" s="49"/>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ht="15" x14ac:dyDescent="0.2">
      <c r="A10" s="91" t="s">
        <v>78</v>
      </c>
      <c r="B10" s="44" t="str">
        <f>'Parameters List'!B10</f>
        <v>Steer Az (clockwise - positive)</v>
      </c>
      <c r="C10" s="49"/>
      <c r="D10" s="49"/>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ht="15" x14ac:dyDescent="0.2">
      <c r="A11" s="91" t="s">
        <v>78</v>
      </c>
      <c r="B11" s="44" t="str">
        <f>'Parameters List'!B11</f>
        <v>Steer El (up - positive)</v>
      </c>
      <c r="C11" s="49"/>
      <c r="D11" s="49"/>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A12" s="89"/>
      <c r="B12" s="54"/>
      <c r="C12" s="55"/>
      <c r="D12" s="55"/>
    </row>
    <row r="13" spans="1:78" s="43" customFormat="1" x14ac:dyDescent="0.2">
      <c r="A13" s="93" t="s">
        <v>77</v>
      </c>
      <c r="B13" s="56" t="str">
        <f>'Parameters List'!B13</f>
        <v>Processing Channel Number (1 or 2)</v>
      </c>
      <c r="C13" s="49"/>
      <c r="D13" s="49"/>
      <c r="E13" s="33">
        <v>1</v>
      </c>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A14" s="93" t="s">
        <v>77</v>
      </c>
      <c r="B14" s="56" t="str">
        <f>'Parameters List'!B14</f>
        <v>Beam type (relative to processing channel)</v>
      </c>
      <c r="C14" s="49"/>
      <c r="D14" s="49"/>
      <c r="E14" s="33">
        <v>1</v>
      </c>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91" t="s">
        <v>77</v>
      </c>
      <c r="B15" s="56" t="str">
        <f>'Parameters List'!B15</f>
        <v>Stagger number (1 or 2)</v>
      </c>
      <c r="C15" s="58"/>
      <c r="D15" s="58"/>
      <c r="E15" s="33">
        <v>1</v>
      </c>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91" t="s">
        <v>77</v>
      </c>
      <c r="B16" s="56" t="str">
        <f>'Parameters List'!B16</f>
        <v>Receiving Patch Group (1 or 2)</v>
      </c>
      <c r="C16" s="58"/>
      <c r="D16" s="58"/>
      <c r="E16" s="33">
        <v>1</v>
      </c>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91" t="s">
        <v>77</v>
      </c>
      <c r="B17" s="56" t="str">
        <f>'Parameters List'!B17</f>
        <v>Tracking (0 or 1)</v>
      </c>
      <c r="C17" s="58"/>
      <c r="D17" s="58"/>
      <c r="E17" s="33">
        <v>0</v>
      </c>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t="s">
        <v>77</v>
      </c>
      <c r="B18" s="56" t="str">
        <f>'Parameters List'!B18</f>
        <v>Stagger PRI Sequence (Chip Units)</v>
      </c>
      <c r="C18" s="58"/>
      <c r="D18" s="58"/>
      <c r="E18" s="123">
        <f t="shared" ref="E18:AJ18" si="0">IF(E$13=1, (E$14-1)*$C$31,IF(E$13=2,((E$14-1)*$D$31),""))</f>
        <v>0</v>
      </c>
      <c r="F18" s="123" t="str">
        <f t="shared" si="0"/>
        <v/>
      </c>
      <c r="G18" s="123" t="str">
        <f t="shared" si="0"/>
        <v/>
      </c>
      <c r="H18" s="123" t="str">
        <f t="shared" si="0"/>
        <v/>
      </c>
      <c r="I18" s="123" t="str">
        <f t="shared" si="0"/>
        <v/>
      </c>
      <c r="J18" s="123" t="str">
        <f t="shared" si="0"/>
        <v/>
      </c>
      <c r="K18" s="123" t="str">
        <f t="shared" si="0"/>
        <v/>
      </c>
      <c r="L18" s="123" t="str">
        <f t="shared" si="0"/>
        <v/>
      </c>
      <c r="M18" s="123" t="str">
        <f t="shared" si="0"/>
        <v/>
      </c>
      <c r="N18" s="123" t="str">
        <f t="shared" si="0"/>
        <v/>
      </c>
      <c r="O18" s="123" t="str">
        <f t="shared" si="0"/>
        <v/>
      </c>
      <c r="P18" s="123" t="str">
        <f t="shared" si="0"/>
        <v/>
      </c>
      <c r="Q18" s="123" t="str">
        <f t="shared" si="0"/>
        <v/>
      </c>
      <c r="R18" s="123" t="str">
        <f t="shared" si="0"/>
        <v/>
      </c>
      <c r="S18" s="123" t="str">
        <f t="shared" si="0"/>
        <v/>
      </c>
      <c r="T18" s="123" t="str">
        <f t="shared" si="0"/>
        <v/>
      </c>
      <c r="U18" s="123" t="str">
        <f t="shared" si="0"/>
        <v/>
      </c>
      <c r="V18" s="123" t="str">
        <f t="shared" si="0"/>
        <v/>
      </c>
      <c r="W18" s="123" t="str">
        <f t="shared" si="0"/>
        <v/>
      </c>
      <c r="X18" s="123" t="str">
        <f t="shared" si="0"/>
        <v/>
      </c>
      <c r="Y18" s="123" t="str">
        <f t="shared" si="0"/>
        <v/>
      </c>
      <c r="Z18" s="123" t="str">
        <f t="shared" si="0"/>
        <v/>
      </c>
      <c r="AA18" s="123" t="str">
        <f t="shared" si="0"/>
        <v/>
      </c>
      <c r="AB18" s="123" t="str">
        <f t="shared" si="0"/>
        <v/>
      </c>
      <c r="AC18" s="123" t="str">
        <f t="shared" si="0"/>
        <v/>
      </c>
      <c r="AD18" s="123" t="str">
        <f t="shared" si="0"/>
        <v/>
      </c>
      <c r="AE18" s="123" t="str">
        <f t="shared" si="0"/>
        <v/>
      </c>
      <c r="AF18" s="123" t="str">
        <f t="shared" si="0"/>
        <v/>
      </c>
      <c r="AG18" s="123" t="str">
        <f t="shared" si="0"/>
        <v/>
      </c>
      <c r="AH18" s="123" t="str">
        <f t="shared" si="0"/>
        <v/>
      </c>
      <c r="AI18" s="123" t="str">
        <f t="shared" si="0"/>
        <v/>
      </c>
      <c r="AJ18" s="123" t="str">
        <f t="shared" si="0"/>
        <v/>
      </c>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A19" s="89"/>
      <c r="B19" s="41" t="str">
        <f>CONCATENATE('XML File Parameters'!D2," XMLver",'XML File Parameters'!D3,".",'XML File Parameters'!D4)</f>
        <v>MHR XMLver5.15</v>
      </c>
      <c r="C19" s="49"/>
      <c r="D19" s="49"/>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A20" s="91" t="s">
        <v>78</v>
      </c>
      <c r="B20" s="61" t="str">
        <f>'Parameters List'!B20</f>
        <v>P-State Name</v>
      </c>
      <c r="C20" s="100" t="s">
        <v>286</v>
      </c>
      <c r="D20" s="100" t="s">
        <v>287</v>
      </c>
      <c r="F20" s="43"/>
      <c r="G20" s="43"/>
      <c r="H20" s="43"/>
      <c r="I20" s="43"/>
      <c r="J20" s="43"/>
      <c r="K20" s="43"/>
      <c r="L20" s="43"/>
      <c r="M20" s="43"/>
      <c r="N20" s="43"/>
      <c r="O20" s="43"/>
      <c r="P20" s="43"/>
      <c r="Q20" s="43"/>
      <c r="R20" s="43"/>
      <c r="S20" s="43"/>
    </row>
    <row r="21" spans="1:78" x14ac:dyDescent="0.2">
      <c r="A21" s="91" t="s">
        <v>78</v>
      </c>
      <c r="B21" s="103" t="str">
        <f>'Parameters List'!B21</f>
        <v>Apply RG Optimization</v>
      </c>
      <c r="C21" s="64">
        <v>0</v>
      </c>
      <c r="D21" s="64">
        <v>0</v>
      </c>
      <c r="F21" s="43"/>
      <c r="G21" s="43"/>
      <c r="H21" s="43"/>
      <c r="I21" s="43"/>
      <c r="J21" s="43"/>
      <c r="K21" s="43"/>
      <c r="L21" s="43"/>
      <c r="M21" s="43"/>
      <c r="N21" s="43"/>
      <c r="O21" s="43"/>
      <c r="P21" s="43"/>
      <c r="Q21" s="43"/>
      <c r="R21" s="43"/>
      <c r="S21" s="43"/>
    </row>
    <row r="22" spans="1:78" x14ac:dyDescent="0.2">
      <c r="A22" s="91" t="s">
        <v>78</v>
      </c>
      <c r="B22" s="104" t="str">
        <f>'Parameters List'!B22</f>
        <v>Sequential Repetition</v>
      </c>
      <c r="C22" s="64">
        <v>22</v>
      </c>
      <c r="D22" s="64">
        <v>2</v>
      </c>
      <c r="F22" s="43"/>
      <c r="G22" s="43"/>
      <c r="H22" s="43"/>
      <c r="I22" s="43"/>
      <c r="J22" s="43"/>
      <c r="K22" s="43"/>
      <c r="L22" s="43"/>
      <c r="M22" s="43"/>
      <c r="N22" s="43"/>
      <c r="O22" s="43"/>
      <c r="P22" s="43"/>
      <c r="Q22" s="43"/>
      <c r="R22" s="43"/>
      <c r="S22" s="43"/>
    </row>
    <row r="23" spans="1:78" x14ac:dyDescent="0.2">
      <c r="A23" s="91" t="s">
        <v>78</v>
      </c>
      <c r="B23" s="104" t="str">
        <f>'Parameters List'!B23</f>
        <v>Max Dets to process</v>
      </c>
      <c r="C23" s="64">
        <v>64</v>
      </c>
      <c r="D23" s="64">
        <v>40</v>
      </c>
      <c r="E23" s="65"/>
      <c r="F23" s="43"/>
      <c r="G23" s="43"/>
      <c r="H23" s="43"/>
      <c r="I23" s="43"/>
      <c r="J23" s="43"/>
      <c r="K23" s="43"/>
      <c r="L23" s="43"/>
      <c r="M23" s="43"/>
      <c r="N23" s="43"/>
      <c r="O23" s="43"/>
      <c r="P23" s="43"/>
      <c r="Q23" s="43"/>
      <c r="R23" s="43"/>
      <c r="S23" s="43"/>
    </row>
    <row r="24" spans="1:78" x14ac:dyDescent="0.2">
      <c r="A24" s="91"/>
      <c r="B24" s="95" t="str">
        <f>'Parameters List'!B24</f>
        <v>Number of Steers</v>
      </c>
      <c r="C24" s="33">
        <f>COUNTIF(E$4:BP$4,"&gt;0")</f>
        <v>22</v>
      </c>
      <c r="D24" s="33">
        <f>COUNTIF(E$9:BP$9,"&gt;0")</f>
        <v>0</v>
      </c>
      <c r="E24" s="65"/>
      <c r="F24" s="43"/>
      <c r="G24" s="43"/>
      <c r="H24" s="43"/>
      <c r="I24" s="43"/>
      <c r="J24" s="43"/>
      <c r="K24" s="43"/>
      <c r="L24" s="43"/>
      <c r="M24" s="43"/>
      <c r="N24" s="43"/>
      <c r="O24" s="43"/>
      <c r="P24" s="43"/>
      <c r="Q24" s="43"/>
      <c r="R24" s="43"/>
      <c r="S24" s="43"/>
    </row>
    <row r="25" spans="1:78" x14ac:dyDescent="0.2">
      <c r="A25" s="91"/>
      <c r="B25" s="95" t="str">
        <f>'Parameters List'!B25</f>
        <v>Number of Beam Types</v>
      </c>
      <c r="C25" s="33">
        <f>COUNTIFS($E$13:$AJ$13,"=1",$E$15:$AJ$15,"=1")</f>
        <v>1</v>
      </c>
      <c r="D25" s="33">
        <f>COUNTIFS($E$13:$AJ$13,"=2",$E$15:$AJ$15,"=1")</f>
        <v>0</v>
      </c>
      <c r="E25" s="65"/>
      <c r="F25" s="43"/>
      <c r="G25" s="43"/>
      <c r="H25" s="43"/>
      <c r="I25" s="43"/>
      <c r="J25" s="43"/>
      <c r="K25" s="43"/>
      <c r="L25" s="43"/>
      <c r="M25" s="43"/>
      <c r="N25" s="43"/>
      <c r="O25" s="43"/>
      <c r="P25" s="43"/>
      <c r="Q25" s="43"/>
      <c r="R25" s="43"/>
      <c r="S25" s="43"/>
    </row>
    <row r="26" spans="1:78" x14ac:dyDescent="0.2">
      <c r="A26" s="91"/>
      <c r="B26" s="95" t="str">
        <f>'Parameters List'!B26</f>
        <v>Number of Beams</v>
      </c>
      <c r="C26" s="33">
        <f>COUNTIF($E$13:$AJ$13,"=1")</f>
        <v>1</v>
      </c>
      <c r="D26" s="33">
        <f>COUNTIF($E$13:$AJ$13,"=2")</f>
        <v>0</v>
      </c>
      <c r="E26" s="65"/>
      <c r="F26" s="43"/>
      <c r="G26" s="43"/>
      <c r="H26" s="43"/>
      <c r="I26" s="43"/>
      <c r="J26" s="43"/>
      <c r="K26" s="43"/>
      <c r="L26" s="43"/>
      <c r="M26" s="43"/>
      <c r="N26" s="43"/>
      <c r="O26" s="43"/>
      <c r="P26" s="43"/>
      <c r="Q26" s="43"/>
      <c r="R26" s="43"/>
      <c r="S26" s="43"/>
    </row>
    <row r="27" spans="1:78" x14ac:dyDescent="0.2">
      <c r="A27" s="91"/>
      <c r="B27" s="95" t="str">
        <f>'Parameters List'!B27</f>
        <v>Number of Beams at Antenna1</v>
      </c>
      <c r="C27" s="33">
        <f>IF(COUNTIF($E$4:$BP$4,"=1")&gt;=C$25,C$26,COUNTIF($E$4:$BP$4,"=1")*C$26/C$25)</f>
        <v>1</v>
      </c>
      <c r="D27" s="33">
        <f>IF(COUNTIF($E$9:$BP$9,"=1")&gt;=D$25,D$26,COUNTIF($E$9:$BP$9,"=1")*D$26/D$25)</f>
        <v>0</v>
      </c>
      <c r="E27" s="65"/>
      <c r="F27" s="43"/>
      <c r="G27" s="43"/>
      <c r="H27" s="43"/>
      <c r="I27" s="43"/>
      <c r="J27" s="43"/>
      <c r="K27" s="43"/>
      <c r="L27" s="43"/>
      <c r="M27" s="43"/>
      <c r="N27" s="43"/>
      <c r="O27" s="43"/>
      <c r="P27" s="43"/>
      <c r="Q27" s="43"/>
      <c r="R27" s="43"/>
      <c r="S27" s="43"/>
    </row>
    <row r="28" spans="1:78" x14ac:dyDescent="0.2">
      <c r="A28" s="91"/>
      <c r="B28" s="95" t="str">
        <f>'Parameters List'!B28</f>
        <v>Number of Beams at Antenna2</v>
      </c>
      <c r="C28" s="33">
        <f>IF(COUNTIF($E$4:$BP$4,"=2")&gt;=C$25,C$26,COUNTIF($E$4:$BP$4,"=2")*C$26/C$25)</f>
        <v>0</v>
      </c>
      <c r="D28" s="33">
        <f>IF(COUNTIF($E$9:$BP$9,"=2")&gt;=D$25,D$26,COUNTIF($E$9:$BP$9,"=2")*D$26/D$25)</f>
        <v>0</v>
      </c>
      <c r="E28" s="65"/>
      <c r="F28" s="43"/>
      <c r="G28" s="43"/>
      <c r="H28" s="43"/>
      <c r="I28" s="43"/>
      <c r="J28" s="43"/>
      <c r="K28" s="43"/>
      <c r="L28" s="43"/>
      <c r="M28" s="43"/>
      <c r="N28" s="43"/>
      <c r="O28" s="43"/>
      <c r="P28" s="43"/>
      <c r="Q28" s="43"/>
      <c r="R28" s="43"/>
      <c r="S28" s="43"/>
    </row>
    <row r="29" spans="1:78" x14ac:dyDescent="0.2">
      <c r="A29" s="91" t="s">
        <v>81</v>
      </c>
      <c r="B29" s="94" t="str">
        <f>'Parameters List'!B29</f>
        <v>Desired CPI (ms)</v>
      </c>
      <c r="C29" s="64">
        <v>50</v>
      </c>
      <c r="D29" s="64">
        <v>5</v>
      </c>
      <c r="G29" s="43"/>
      <c r="H29" s="43"/>
      <c r="I29" s="43"/>
      <c r="J29" s="43"/>
      <c r="K29" s="43"/>
      <c r="L29" s="43"/>
      <c r="M29" s="43"/>
      <c r="N29" s="43"/>
      <c r="O29" s="43"/>
      <c r="P29" s="43"/>
      <c r="Q29" s="43"/>
      <c r="R29" s="43"/>
      <c r="S29" s="43"/>
    </row>
    <row r="30" spans="1:78" x14ac:dyDescent="0.2">
      <c r="A30" s="91" t="s">
        <v>78</v>
      </c>
      <c r="B30" s="95" t="str">
        <f>'Parameters List'!B30</f>
        <v>Actual CPI (ms)</v>
      </c>
      <c r="C30" s="33">
        <f>(C$49*$C$104*C$51)/1000</f>
        <v>49.254400000000004</v>
      </c>
      <c r="D30" s="33">
        <f>(D$49*$C$104*D$51)/1000</f>
        <v>4.6176000000000004</v>
      </c>
      <c r="F30" s="43"/>
      <c r="G30" s="43"/>
      <c r="H30" s="43"/>
      <c r="I30" s="43"/>
      <c r="J30" s="43"/>
      <c r="K30" s="43"/>
      <c r="L30" s="43"/>
      <c r="M30" s="43"/>
      <c r="N30" s="43"/>
      <c r="O30" s="43"/>
      <c r="P30" s="43"/>
      <c r="Q30" s="43"/>
      <c r="R30" s="43"/>
      <c r="S30" s="43"/>
    </row>
    <row r="31" spans="1:78" x14ac:dyDescent="0.2">
      <c r="A31" s="91" t="s">
        <v>78</v>
      </c>
      <c r="B31" s="94" t="str">
        <f>'Parameters List'!B31</f>
        <v>Multi Stagger - PRI Ext (in Chip Units)</v>
      </c>
      <c r="C31" s="64">
        <v>0</v>
      </c>
      <c r="D31" s="64">
        <v>0</v>
      </c>
      <c r="E31" s="65"/>
      <c r="F31" s="119"/>
      <c r="G31" s="43"/>
      <c r="H31" s="43"/>
      <c r="I31" s="43"/>
      <c r="J31" s="43"/>
      <c r="K31" s="43"/>
      <c r="L31" s="43"/>
      <c r="M31" s="43"/>
      <c r="N31" s="43"/>
      <c r="O31" s="43"/>
      <c r="P31" s="43"/>
      <c r="Q31" s="43"/>
      <c r="R31" s="43"/>
      <c r="S31" s="43"/>
    </row>
    <row r="32" spans="1:78" x14ac:dyDescent="0.2">
      <c r="A32" s="91" t="s">
        <v>78</v>
      </c>
      <c r="B32" s="94" t="str">
        <f>'Parameters List'!B32</f>
        <v>Stagger1 PRI (µs)</v>
      </c>
      <c r="C32" s="64">
        <v>48</v>
      </c>
      <c r="D32" s="64">
        <v>14</v>
      </c>
      <c r="F32" s="43"/>
      <c r="G32" s="43"/>
      <c r="H32" s="43"/>
      <c r="I32" s="43"/>
      <c r="J32" s="43"/>
      <c r="K32" s="43"/>
      <c r="L32" s="43"/>
      <c r="M32" s="43"/>
      <c r="N32" s="43"/>
      <c r="O32" s="43"/>
      <c r="P32" s="43"/>
      <c r="Q32" s="43"/>
      <c r="R32" s="43"/>
      <c r="S32" s="43"/>
    </row>
    <row r="33" spans="1:19" x14ac:dyDescent="0.2">
      <c r="A33" s="91" t="s">
        <v>78</v>
      </c>
      <c r="B33" s="94" t="str">
        <f>'Parameters List'!B33</f>
        <v>Stagger2 PRI (µs)</v>
      </c>
      <c r="C33" s="64">
        <v>48</v>
      </c>
      <c r="D33" s="64">
        <v>0</v>
      </c>
      <c r="F33" s="43"/>
      <c r="G33" s="43"/>
      <c r="H33" s="43"/>
      <c r="I33" s="43"/>
      <c r="J33" s="43"/>
      <c r="K33" s="43"/>
      <c r="L33" s="43"/>
      <c r="M33" s="43"/>
      <c r="N33" s="43"/>
      <c r="O33" s="43"/>
      <c r="P33" s="43"/>
      <c r="Q33" s="43"/>
      <c r="R33" s="43"/>
      <c r="S33" s="43"/>
    </row>
    <row r="34" spans="1:19" x14ac:dyDescent="0.2">
      <c r="A34" s="91" t="s">
        <v>81</v>
      </c>
      <c r="B34" s="95" t="str">
        <f>'Parameters List'!B34</f>
        <v>Number of Staggers (1 or 2)</v>
      </c>
      <c r="C34" s="67">
        <f>1*(C$32&lt;&gt;0)+1*(C$33&lt;&gt;0)</f>
        <v>2</v>
      </c>
      <c r="D34" s="67">
        <f>1*(D$32&lt;&gt;0)+1*(D$33&lt;&gt;0)</f>
        <v>1</v>
      </c>
      <c r="F34" s="43"/>
      <c r="G34" s="43"/>
      <c r="H34" s="43"/>
      <c r="I34" s="43"/>
      <c r="J34" s="43"/>
      <c r="K34" s="43"/>
      <c r="L34" s="43"/>
      <c r="M34" s="43"/>
      <c r="N34" s="43"/>
      <c r="O34" s="43"/>
      <c r="P34" s="43"/>
      <c r="Q34" s="43"/>
      <c r="R34" s="43"/>
      <c r="S34" s="43"/>
    </row>
    <row r="35" spans="1:19" x14ac:dyDescent="0.2">
      <c r="A35" s="91"/>
      <c r="B35" s="94" t="str">
        <f>'Parameters List'!B35</f>
        <v>Stagger Loss (dB)</v>
      </c>
      <c r="C35" s="64">
        <v>0</v>
      </c>
      <c r="D35" s="64">
        <v>3.01</v>
      </c>
      <c r="F35" s="43"/>
      <c r="G35" s="43"/>
      <c r="H35" s="43"/>
      <c r="I35" s="43"/>
      <c r="J35" s="43"/>
      <c r="K35" s="43"/>
      <c r="L35" s="43"/>
      <c r="M35" s="43"/>
      <c r="N35" s="43"/>
      <c r="O35" s="43"/>
      <c r="P35" s="43"/>
      <c r="Q35" s="43"/>
      <c r="R35" s="43"/>
      <c r="S35" s="43"/>
    </row>
    <row r="36" spans="1:19" x14ac:dyDescent="0.2">
      <c r="A36" s="91" t="s">
        <v>78</v>
      </c>
      <c r="B36" s="95" t="str">
        <f>'Parameters List'!B36</f>
        <v>PW (µs)</v>
      </c>
      <c r="C36" s="33">
        <f>C$46*C$48*$C$174</f>
        <v>13</v>
      </c>
      <c r="D36" s="33">
        <f>D$46*D$48*$C$174</f>
        <v>3.9000000000000004</v>
      </c>
      <c r="F36" s="43"/>
      <c r="G36" s="43"/>
      <c r="H36" s="43"/>
      <c r="I36" s="43"/>
      <c r="J36" s="43"/>
      <c r="K36" s="43"/>
      <c r="L36" s="43"/>
      <c r="M36" s="43"/>
      <c r="N36" s="43"/>
      <c r="O36" s="43"/>
      <c r="P36" s="43"/>
      <c r="Q36" s="43"/>
      <c r="R36" s="43"/>
      <c r="S36" s="43"/>
    </row>
    <row r="37" spans="1:19" x14ac:dyDescent="0.2">
      <c r="A37" s="91" t="s">
        <v>78</v>
      </c>
      <c r="B37" s="95" t="str">
        <f>'Parameters List'!B37</f>
        <v>Actual Bandwidth (MHz)</v>
      </c>
      <c r="C37" s="33">
        <f>2*C$48/(C$36*(2*(C$48=2)+1*(C$48&lt;&gt;2)))</f>
        <v>2</v>
      </c>
      <c r="D37" s="33">
        <f>2*D$48/(D$36*(2*(D$48=2)+1*(D$48&lt;&gt;2)))</f>
        <v>6.6666666666666661</v>
      </c>
      <c r="F37" s="43"/>
      <c r="G37" s="43"/>
      <c r="H37" s="43"/>
      <c r="I37" s="43"/>
      <c r="J37" s="43"/>
      <c r="K37" s="43"/>
      <c r="L37" s="43"/>
      <c r="M37" s="43"/>
      <c r="N37" s="43"/>
      <c r="O37" s="43"/>
      <c r="P37" s="43"/>
      <c r="Q37" s="43"/>
      <c r="R37" s="43"/>
      <c r="S37" s="43"/>
    </row>
    <row r="38" spans="1:19" x14ac:dyDescent="0.2">
      <c r="A38" s="91" t="s">
        <v>81</v>
      </c>
      <c r="B38" s="95" t="str">
        <f>'Parameters List'!B38</f>
        <v>Range Resolution (m)</v>
      </c>
      <c r="C38" s="67">
        <f>$C$163*C$36 /C$48*(2*(C$48=2)+1*(C$48&lt;&gt;2))</f>
        <v>149.89622900000001</v>
      </c>
      <c r="D38" s="67">
        <f>$C$163*D$36 /D$48*(2*(D$48=2)+1*(D$48&lt;&gt;2))</f>
        <v>44.968868700000002</v>
      </c>
      <c r="F38" s="43"/>
      <c r="G38" s="43"/>
      <c r="H38" s="43"/>
      <c r="I38" s="43"/>
      <c r="J38" s="43"/>
      <c r="K38" s="43"/>
      <c r="L38" s="43"/>
      <c r="M38" s="43"/>
      <c r="N38" s="43"/>
      <c r="O38" s="43"/>
      <c r="P38" s="43"/>
      <c r="Q38" s="43"/>
      <c r="R38" s="43"/>
      <c r="S38" s="43"/>
    </row>
    <row r="39" spans="1:19" x14ac:dyDescent="0.2">
      <c r="A39" s="91" t="s">
        <v>81</v>
      </c>
      <c r="B39" s="95" t="str">
        <f>'Parameters List'!B39</f>
        <v>Range Gate Width (m)</v>
      </c>
      <c r="C39" s="67">
        <f>C$38*(1*(C$47=0)+0.5*(C$47&lt;&gt;0))</f>
        <v>74.948114500000003</v>
      </c>
      <c r="D39" s="67">
        <f>D$38*(1*(D$47=0)+0.5*(D$47&lt;&gt;0))</f>
        <v>22.484434350000001</v>
      </c>
      <c r="F39" s="43"/>
      <c r="G39" s="43"/>
      <c r="H39" s="43"/>
      <c r="I39" s="43"/>
      <c r="J39" s="43"/>
      <c r="K39" s="43"/>
      <c r="L39" s="43"/>
      <c r="M39" s="43"/>
      <c r="N39" s="43"/>
      <c r="O39" s="43"/>
      <c r="P39" s="43"/>
      <c r="Q39" s="43"/>
      <c r="R39" s="43"/>
      <c r="S39" s="43"/>
    </row>
    <row r="40" spans="1:19" x14ac:dyDescent="0.2">
      <c r="A40" s="91" t="s">
        <v>78</v>
      </c>
      <c r="B40" s="94" t="str">
        <f>'Parameters List'!B40</f>
        <v>Max Target Range (m)</v>
      </c>
      <c r="C40" s="64">
        <v>0</v>
      </c>
      <c r="D40" s="64">
        <v>0</v>
      </c>
      <c r="F40" s="43"/>
      <c r="G40" s="43"/>
      <c r="H40" s="43"/>
      <c r="I40" s="43"/>
      <c r="J40" s="43"/>
      <c r="K40" s="43"/>
      <c r="L40" s="43"/>
      <c r="M40" s="43"/>
      <c r="N40" s="43"/>
      <c r="O40" s="43"/>
      <c r="P40" s="43"/>
      <c r="Q40" s="43"/>
      <c r="R40" s="43"/>
      <c r="S40" s="43"/>
    </row>
    <row r="41" spans="1:19" x14ac:dyDescent="0.2">
      <c r="A41" s="91" t="s">
        <v>78</v>
      </c>
      <c r="B41" s="94" t="str">
        <f>'Parameters List'!B41</f>
        <v>Min Range Offset (m)</v>
      </c>
      <c r="C41" s="64">
        <v>0</v>
      </c>
      <c r="D41" s="64">
        <v>0</v>
      </c>
      <c r="F41" s="43"/>
      <c r="G41" s="43"/>
      <c r="H41" s="43"/>
      <c r="I41" s="43"/>
      <c r="J41" s="43"/>
      <c r="K41" s="43"/>
      <c r="L41" s="43"/>
      <c r="M41" s="43"/>
      <c r="N41" s="43"/>
      <c r="O41" s="43"/>
      <c r="P41" s="43"/>
      <c r="Q41" s="43"/>
      <c r="R41" s="43"/>
      <c r="S41" s="43"/>
    </row>
    <row r="42" spans="1:19" x14ac:dyDescent="0.2">
      <c r="A42" s="91" t="s">
        <v>78</v>
      </c>
      <c r="B42" s="94" t="str">
        <f>'Parameters List'!B42</f>
        <v>Max Range Offset (m)</v>
      </c>
      <c r="C42" s="64">
        <v>0</v>
      </c>
      <c r="D42" s="64">
        <v>0</v>
      </c>
      <c r="F42" s="43"/>
      <c r="G42" s="43"/>
      <c r="H42" s="43"/>
      <c r="I42" s="43"/>
      <c r="J42" s="43"/>
      <c r="K42" s="43"/>
      <c r="L42" s="43"/>
      <c r="M42" s="43"/>
      <c r="N42" s="43"/>
      <c r="O42" s="43"/>
      <c r="P42" s="43"/>
      <c r="Q42" s="43"/>
      <c r="R42" s="43"/>
      <c r="S42" s="43"/>
    </row>
    <row r="43" spans="1:19" x14ac:dyDescent="0.2">
      <c r="A43" s="91" t="s">
        <v>78</v>
      </c>
      <c r="B43" s="95" t="str">
        <f>'Parameters List'!B43</f>
        <v>Min Range (m)</v>
      </c>
      <c r="C43" s="67">
        <f>$C$163*C$36 + C$41</f>
        <v>1948.650977</v>
      </c>
      <c r="D43" s="67">
        <f>$C$163*D$36 + D$41</f>
        <v>584.59529310000005</v>
      </c>
      <c r="F43" s="43"/>
      <c r="G43" s="43"/>
      <c r="H43" s="43"/>
      <c r="I43" s="43"/>
      <c r="J43" s="43"/>
      <c r="K43" s="43"/>
      <c r="L43" s="43"/>
      <c r="M43" s="43"/>
      <c r="N43" s="43"/>
      <c r="O43" s="43"/>
      <c r="P43" s="43"/>
      <c r="Q43" s="43"/>
      <c r="R43" s="43"/>
      <c r="S43" s="43"/>
    </row>
    <row r="44" spans="1:19" x14ac:dyDescent="0.2">
      <c r="A44" s="91" t="s">
        <v>78</v>
      </c>
      <c r="B44" s="95" t="str">
        <f>'Parameters List'!B44</f>
        <v>Max Range (m)</v>
      </c>
      <c r="C44" s="67">
        <f>$C$163*((C$45-1)*C$46*$C$174/IF(C$48=2,IF(C$47=1,1,0.5),IF(C$47=1,2,1)))+C$43</f>
        <v>5171.4199005</v>
      </c>
      <c r="D44" s="67">
        <f>$C$163*((D$45-1)*D$46*$C$174/IF(D$48=2,IF(D$47=1,1,0.5),IF(D$47=1,2,1)))+D$43</f>
        <v>1483.9726671000001</v>
      </c>
      <c r="F44" s="43"/>
      <c r="G44" s="43"/>
      <c r="H44" s="43"/>
      <c r="I44" s="43"/>
      <c r="J44" s="43"/>
      <c r="K44" s="43"/>
      <c r="L44" s="43"/>
      <c r="M44" s="43"/>
      <c r="N44" s="43"/>
      <c r="O44" s="43"/>
      <c r="P44" s="43"/>
      <c r="Q44" s="43"/>
      <c r="R44" s="43"/>
      <c r="S44" s="43"/>
    </row>
    <row r="45" spans="1:19" x14ac:dyDescent="0.2">
      <c r="A45" s="91" t="s">
        <v>78</v>
      </c>
      <c r="B45" s="95" t="str">
        <f>'Parameters List'!B45</f>
        <v>NRG</v>
      </c>
      <c r="C45" s="33">
        <f>FLOOR((C$32-$C$161-2*C$36-(C$41+C$42)/$C$163)/(IF(C$48=2,IF(C$47=0,C$46*$C$174*2,C$46*$C$174),IF(C$47=0,C$46*$C$174,C$46*$C$174/2))),1)+1</f>
        <v>44</v>
      </c>
      <c r="D45" s="33">
        <f>FLOOR((D$32-$C$161-2*D$36-(D$41+D$42)/$C$163)/(IF(D$48=2,IF(D$47=0,D$46*$C$174*2,D$46*$C$174),IF(D$47=0,D$46*$C$174,D$46*$C$174/2))),1)+1</f>
        <v>41</v>
      </c>
      <c r="F45" s="43"/>
      <c r="G45" s="43"/>
      <c r="H45" s="43"/>
      <c r="I45" s="43"/>
      <c r="J45" s="43"/>
      <c r="K45" s="43"/>
      <c r="L45" s="43"/>
      <c r="M45" s="43"/>
      <c r="N45" s="43"/>
      <c r="O45" s="43"/>
      <c r="P45" s="43"/>
      <c r="Q45" s="43"/>
      <c r="R45" s="43"/>
      <c r="S45" s="43"/>
    </row>
    <row r="46" spans="1:19" x14ac:dyDescent="0.2">
      <c r="A46" s="91" t="s">
        <v>78</v>
      </c>
      <c r="B46" s="94" t="str">
        <f>'Parameters List'!B46</f>
        <v>TCHIP (even number)</v>
      </c>
      <c r="C46" s="64">
        <v>80</v>
      </c>
      <c r="D46" s="64">
        <v>24</v>
      </c>
      <c r="F46" s="43"/>
      <c r="G46" s="43"/>
      <c r="H46" s="43"/>
      <c r="I46" s="43"/>
      <c r="J46" s="43"/>
      <c r="K46" s="43"/>
      <c r="L46" s="43"/>
      <c r="M46" s="43"/>
      <c r="N46" s="43"/>
      <c r="O46" s="43"/>
      <c r="P46" s="43"/>
      <c r="Q46" s="43"/>
      <c r="R46" s="43"/>
      <c r="S46" s="43"/>
    </row>
    <row r="47" spans="1:19" x14ac:dyDescent="0.2">
      <c r="A47" s="91" t="s">
        <v>78</v>
      </c>
      <c r="B47" s="94" t="str">
        <f>'Parameters List'!B47</f>
        <v>Range Gate Overlap
(0 - 0%, 1 - 50%)</v>
      </c>
      <c r="C47" s="64">
        <v>1</v>
      </c>
      <c r="D47" s="64">
        <v>1</v>
      </c>
      <c r="F47" s="43"/>
      <c r="G47" s="43"/>
      <c r="H47" s="43"/>
      <c r="I47" s="43"/>
      <c r="J47" s="43"/>
      <c r="K47" s="43"/>
      <c r="L47" s="43"/>
      <c r="M47" s="43"/>
      <c r="N47" s="43"/>
      <c r="O47" s="43"/>
      <c r="P47" s="43"/>
      <c r="Q47" s="43"/>
      <c r="R47" s="43"/>
      <c r="S47" s="43"/>
    </row>
    <row r="48" spans="1:19" x14ac:dyDescent="0.2">
      <c r="A48" s="91" t="s">
        <v>78</v>
      </c>
      <c r="B48" s="94" t="str">
        <f>'Parameters List'!B48</f>
        <v>NSERIES</v>
      </c>
      <c r="C48" s="64">
        <v>13</v>
      </c>
      <c r="D48" s="64">
        <v>13</v>
      </c>
      <c r="F48" s="43"/>
      <c r="G48" s="43"/>
      <c r="H48" s="43"/>
      <c r="I48" s="43"/>
      <c r="J48" s="43"/>
      <c r="K48" s="43"/>
      <c r="L48" s="43"/>
      <c r="M48" s="43"/>
      <c r="N48" s="43"/>
      <c r="O48" s="43"/>
      <c r="P48" s="43"/>
      <c r="Q48" s="43"/>
      <c r="R48" s="43"/>
      <c r="S48" s="43"/>
    </row>
    <row r="49" spans="1:19" x14ac:dyDescent="0.2">
      <c r="A49" s="91" t="s">
        <v>78</v>
      </c>
      <c r="B49" s="94" t="str">
        <f>'Parameters List'!B49</f>
        <v>POSTDEC</v>
      </c>
      <c r="C49" s="64">
        <v>1</v>
      </c>
      <c r="D49" s="64">
        <v>1</v>
      </c>
      <c r="F49" s="43"/>
      <c r="G49" s="43"/>
      <c r="H49" s="43"/>
      <c r="I49" s="43"/>
      <c r="J49" s="43"/>
      <c r="K49" s="43"/>
      <c r="L49" s="43"/>
      <c r="M49" s="43"/>
      <c r="N49" s="43"/>
      <c r="O49" s="43"/>
      <c r="P49" s="43"/>
      <c r="Q49" s="43"/>
      <c r="R49" s="43"/>
      <c r="S49" s="43"/>
    </row>
    <row r="50" spans="1:19" x14ac:dyDescent="0.2">
      <c r="A50" s="91"/>
      <c r="B50" s="80" t="str">
        <f>'Parameters List'!B50</f>
        <v>Max Abs Velocity Meas (m/s)</v>
      </c>
      <c r="C50" s="70">
        <f>1000000/($C$168*2*$C$104*C$49)</f>
        <v>445.19224532224536</v>
      </c>
      <c r="D50" s="70">
        <f>1000000/($C$168*2*$C$104*D$49)</f>
        <v>445.19224532224536</v>
      </c>
      <c r="F50" s="43"/>
      <c r="G50" s="43"/>
      <c r="H50" s="43"/>
      <c r="I50" s="43"/>
      <c r="J50" s="43"/>
      <c r="K50" s="43"/>
      <c r="L50" s="43"/>
      <c r="M50" s="43"/>
      <c r="N50" s="43"/>
      <c r="O50" s="43"/>
      <c r="P50" s="43"/>
      <c r="Q50" s="43"/>
      <c r="R50" s="43"/>
      <c r="S50" s="43"/>
    </row>
    <row r="51" spans="1:19" x14ac:dyDescent="0.2">
      <c r="A51" s="91" t="s">
        <v>78</v>
      </c>
      <c r="B51" s="95" t="str">
        <f>'Parameters List'!B51</f>
        <v>Npoints (up to FFT length)</v>
      </c>
      <c r="C51" s="33">
        <f>FLOOR((1000*C$29/$C$104/C$49),16)</f>
        <v>1024</v>
      </c>
      <c r="D51" s="33">
        <f>FLOOR((1000*D$29/$C$104/D$49),16)</f>
        <v>96</v>
      </c>
      <c r="F51" s="43"/>
      <c r="G51" s="43"/>
      <c r="H51" s="43"/>
      <c r="I51" s="43"/>
      <c r="J51" s="43"/>
      <c r="K51" s="43"/>
      <c r="L51" s="43"/>
      <c r="M51" s="43"/>
      <c r="N51" s="43"/>
      <c r="O51" s="43"/>
      <c r="P51" s="43"/>
      <c r="Q51" s="43"/>
      <c r="R51" s="43"/>
      <c r="S51" s="43"/>
    </row>
    <row r="52" spans="1:19" x14ac:dyDescent="0.2">
      <c r="A52" s="91" t="s">
        <v>78</v>
      </c>
      <c r="B52" s="95" t="str">
        <f>'Parameters List'!B52</f>
        <v>FFT length (limited to 8192)</v>
      </c>
      <c r="C52" s="33">
        <f>2^CEILING(LOG10(C51)/LOG10(2),1)</f>
        <v>1024</v>
      </c>
      <c r="D52" s="33">
        <f>2^CEILING(LOG10(D51)/LOG10(2),1)</f>
        <v>128</v>
      </c>
      <c r="F52" s="43"/>
      <c r="G52" s="43"/>
      <c r="H52" s="43"/>
      <c r="I52" s="43"/>
      <c r="J52" s="43"/>
      <c r="K52" s="43"/>
      <c r="L52" s="43"/>
      <c r="M52" s="43"/>
      <c r="N52" s="43"/>
      <c r="O52" s="43"/>
      <c r="P52" s="43"/>
      <c r="Q52" s="43"/>
      <c r="R52" s="43"/>
      <c r="S52" s="43"/>
    </row>
    <row r="53" spans="1:19" x14ac:dyDescent="0.2">
      <c r="A53" s="91"/>
      <c r="B53" s="95" t="str">
        <f>'Parameters List'!B53</f>
        <v>NCRG(per rcvr,limited to 512)</v>
      </c>
      <c r="C53" s="67">
        <f>C$45*C$26</f>
        <v>44</v>
      </c>
      <c r="D53" s="67">
        <f>D$45*D$26</f>
        <v>0</v>
      </c>
      <c r="F53" s="43"/>
      <c r="G53" s="43"/>
      <c r="H53" s="43"/>
      <c r="I53" s="43"/>
      <c r="J53" s="43"/>
      <c r="K53" s="43"/>
      <c r="L53" s="43"/>
      <c r="M53" s="43"/>
      <c r="N53" s="43"/>
      <c r="O53" s="43"/>
      <c r="P53" s="43"/>
      <c r="Q53" s="43"/>
      <c r="R53" s="43"/>
      <c r="S53" s="43"/>
    </row>
    <row r="54" spans="1:19" x14ac:dyDescent="0.2">
      <c r="A54" s="91"/>
      <c r="B54" s="95" t="str">
        <f>'Parameters List'!B54</f>
        <v>NCRG(all rcvrs)</v>
      </c>
      <c r="C54" s="67">
        <f>C$53*$C$155</f>
        <v>220</v>
      </c>
      <c r="D54" s="67">
        <f>D$53*$C$155</f>
        <v>0</v>
      </c>
      <c r="F54" s="43"/>
      <c r="G54" s="43"/>
      <c r="H54" s="43"/>
      <c r="I54" s="43"/>
      <c r="J54" s="43"/>
      <c r="K54" s="43"/>
      <c r="L54" s="43"/>
      <c r="M54" s="43"/>
      <c r="N54" s="43"/>
      <c r="O54" s="43"/>
      <c r="P54" s="43"/>
      <c r="Q54" s="43"/>
      <c r="R54" s="43"/>
      <c r="S54" s="43"/>
    </row>
    <row r="55" spans="1:19" x14ac:dyDescent="0.2">
      <c r="A55" s="91"/>
      <c r="B55" s="95" t="str">
        <f>'Parameters List'!B55</f>
        <v>TCHIP (m)</v>
      </c>
      <c r="C55" s="67">
        <f>C46*$C$163*$C$174</f>
        <v>149.89622900000001</v>
      </c>
      <c r="D55" s="67">
        <f>D46*$C$163*$C$174</f>
        <v>44.968868700000002</v>
      </c>
      <c r="F55" s="43"/>
      <c r="G55" s="43"/>
      <c r="H55" s="43"/>
      <c r="I55" s="43"/>
      <c r="J55" s="43"/>
      <c r="K55" s="43"/>
      <c r="L55" s="43"/>
      <c r="M55" s="43"/>
      <c r="N55" s="43"/>
      <c r="O55" s="43"/>
      <c r="P55" s="43"/>
      <c r="Q55" s="43"/>
      <c r="R55" s="43"/>
      <c r="S55" s="43"/>
    </row>
    <row r="56" spans="1:19" x14ac:dyDescent="0.2">
      <c r="A56" s="91"/>
      <c r="B56" s="94" t="str">
        <f>'Parameters List'!B56</f>
        <v>Clutter Velocity Limit (m/s)</v>
      </c>
      <c r="C56" s="64">
        <v>0</v>
      </c>
      <c r="D56" s="64">
        <v>0</v>
      </c>
      <c r="F56" s="43"/>
      <c r="G56" s="43"/>
      <c r="H56" s="43"/>
      <c r="I56" s="43"/>
      <c r="J56" s="43"/>
      <c r="K56" s="43"/>
      <c r="L56" s="43"/>
      <c r="M56" s="43"/>
      <c r="N56" s="43"/>
      <c r="O56" s="43"/>
      <c r="P56" s="43"/>
      <c r="Q56" s="43"/>
      <c r="R56" s="43"/>
      <c r="S56" s="43"/>
    </row>
    <row r="57" spans="1:19" x14ac:dyDescent="0.2">
      <c r="A57" s="91" t="s">
        <v>81</v>
      </c>
      <c r="B57" s="95" t="str">
        <f>'Parameters List'!B57</f>
        <v>Clutter Margin (m/s)</v>
      </c>
      <c r="C57" s="67">
        <f>IF($C$206+C$56&gt;0,$C$206+C$56+C$67*C$65*1,0)</f>
        <v>4.2275455615800421</v>
      </c>
      <c r="D57" s="67">
        <f>IF($C$206+D$56&gt;0,$C$206+D$56+D$67*D$65*1,0)</f>
        <v>35.530125310800415</v>
      </c>
      <c r="F57" s="43"/>
      <c r="G57" s="43"/>
      <c r="H57" s="43"/>
      <c r="I57" s="43"/>
      <c r="J57" s="43"/>
      <c r="K57" s="43"/>
      <c r="L57" s="43"/>
      <c r="M57" s="43"/>
      <c r="N57" s="43"/>
      <c r="O57" s="43"/>
      <c r="P57" s="43"/>
      <c r="Q57" s="43"/>
      <c r="R57" s="43"/>
      <c r="S57" s="43"/>
    </row>
    <row r="58" spans="1:19" x14ac:dyDescent="0.2">
      <c r="A58" s="91" t="s">
        <v>78</v>
      </c>
      <c r="B58" s="94" t="str">
        <f>'Parameters List'!B58</f>
        <v>Min Velocity (m/s)</v>
      </c>
      <c r="C58" s="64">
        <v>0</v>
      </c>
      <c r="D58" s="64">
        <v>0</v>
      </c>
      <c r="F58" s="43"/>
      <c r="G58" s="43"/>
      <c r="H58" s="43"/>
      <c r="I58" s="43"/>
      <c r="J58" s="43"/>
      <c r="K58" s="43"/>
      <c r="L58" s="43"/>
      <c r="M58" s="43"/>
      <c r="N58" s="43"/>
      <c r="O58" s="43"/>
      <c r="P58" s="43"/>
      <c r="Q58" s="43"/>
      <c r="R58" s="43"/>
      <c r="S58" s="43"/>
    </row>
    <row r="59" spans="1:19" x14ac:dyDescent="0.2">
      <c r="A59" s="91" t="s">
        <v>81</v>
      </c>
      <c r="B59" s="94" t="str">
        <f>'Parameters List'!B59</f>
        <v>Max Velocity (m/s)</v>
      </c>
      <c r="C59" s="64">
        <v>20</v>
      </c>
      <c r="D59" s="64">
        <v>20</v>
      </c>
      <c r="F59" s="43"/>
      <c r="G59" s="43"/>
      <c r="H59" s="43"/>
      <c r="I59" s="43"/>
      <c r="J59" s="43"/>
      <c r="K59" s="43"/>
      <c r="L59" s="43"/>
      <c r="M59" s="43"/>
      <c r="N59" s="43"/>
      <c r="O59" s="43"/>
      <c r="P59" s="43"/>
      <c r="Q59" s="43"/>
      <c r="R59" s="43"/>
      <c r="S59" s="43"/>
    </row>
    <row r="60" spans="1:19" x14ac:dyDescent="0.2">
      <c r="A60" s="91"/>
      <c r="B60" s="68" t="str">
        <f>'Parameters List'!B60</f>
        <v>Loss Velocity (m/s)</v>
      </c>
      <c r="C60" s="67">
        <f>C$38*1000/C$30</f>
        <v>3043.3063645075358</v>
      </c>
      <c r="D60" s="67">
        <f>D$38*1000/D$30</f>
        <v>9738.5803664241157</v>
      </c>
      <c r="F60" s="43"/>
      <c r="G60" s="43"/>
      <c r="H60" s="43"/>
      <c r="I60" s="43"/>
      <c r="J60" s="43"/>
      <c r="K60" s="43"/>
      <c r="L60" s="43"/>
      <c r="M60" s="43"/>
      <c r="N60" s="43"/>
      <c r="O60" s="43"/>
      <c r="P60" s="43"/>
      <c r="Q60" s="43"/>
      <c r="R60" s="43"/>
      <c r="S60" s="43"/>
    </row>
    <row r="61" spans="1:19" x14ac:dyDescent="0.2">
      <c r="A61" s="92"/>
      <c r="B61" s="68" t="str">
        <f>'Parameters List'!B61</f>
        <v>Velocity Loss (dB)</v>
      </c>
      <c r="C61" s="67">
        <f>IF(C$59&lt;C$60, 0, IF(C$47=1, IF(C$59&lt;2*C$60, (C$59 / C$60)*0.5*$C$203, 10), IF(C$47=0, IF(C$59&lt;2*C$60, (C$59 / C$60)*$C$202-$C$202/2, 10), 10)))+(-20*LOG10(ABS(SIN(PI()*C$59*$C$168*C$36*10^-6)/(PI()*C$59*$C$168*C$36*10^-6))))</f>
        <v>5.2658615684240766E-4</v>
      </c>
      <c r="D61" s="67">
        <f>IF(D$59&lt;D$60, 0, IF(D$47=1, IF(D$59&lt;2*D$60, (D$59 / D$60)*0.5*$C$203, 10), IF(D$47=0, IF(D$59&lt;2*D$60, (D$59 / D$60)*$C$202-$C$202/2, 10), 10)))+(-20*LOG10(ABS(SIN(PI()*D$59*$C$168*D$36*10^-6)/(PI()*D$59*$C$168*D$36*10^-6))))</f>
        <v>4.7392231192217846E-5</v>
      </c>
    </row>
    <row r="62" spans="1:19" x14ac:dyDescent="0.2">
      <c r="A62" s="92"/>
      <c r="B62" s="71" t="str">
        <f>'Parameters List'!B62</f>
        <v>Max Acceleration (m/s2)</v>
      </c>
      <c r="C62" s="64">
        <v>0</v>
      </c>
      <c r="D62" s="64">
        <v>0</v>
      </c>
    </row>
    <row r="63" spans="1:19" x14ac:dyDescent="0.2">
      <c r="A63" s="91"/>
      <c r="B63" s="68" t="str">
        <f>'Parameters List'!B63</f>
        <v>Loss Acceleration (m/s2)</v>
      </c>
      <c r="C63" s="67">
        <f>C$65*1000/C$30*$C$196</f>
        <v>33.54178708654495</v>
      </c>
      <c r="D63" s="67">
        <f>D$65*1000/D$30*$C$196</f>
        <v>2862.2324980518356</v>
      </c>
      <c r="F63" s="43"/>
      <c r="G63" s="43"/>
      <c r="H63" s="43"/>
      <c r="I63" s="43"/>
      <c r="J63" s="43"/>
      <c r="K63" s="43"/>
      <c r="L63" s="43"/>
      <c r="M63" s="43"/>
      <c r="N63" s="43"/>
      <c r="O63" s="43"/>
      <c r="P63" s="43"/>
      <c r="Q63" s="43"/>
      <c r="R63" s="43"/>
      <c r="S63" s="43"/>
    </row>
    <row r="64" spans="1:19" x14ac:dyDescent="0.2">
      <c r="A64" s="92"/>
      <c r="B64" s="68" t="str">
        <f>'Parameters List'!B64</f>
        <v>Acceleration Loss (dB)</v>
      </c>
      <c r="C64" s="67">
        <f>IF( C$62 &gt;= C$63, C$62 / C$63 * $C$198, 0)</f>
        <v>0</v>
      </c>
      <c r="D64" s="67">
        <f>IF( D$62 &gt;= D$63, D$62 / D$63 * $C$198, 0)</f>
        <v>0</v>
      </c>
    </row>
    <row r="65" spans="1:19" x14ac:dyDescent="0.2">
      <c r="A65" s="91" t="s">
        <v>81</v>
      </c>
      <c r="B65" s="80" t="str">
        <f>'Parameters List'!B65</f>
        <v>fft2doppler (m/s per FFT bin)</v>
      </c>
      <c r="C65" s="70">
        <f>$C$106*1000/C$49/C$52/$C$168</f>
        <v>0.86951610414501046</v>
      </c>
      <c r="D65" s="70">
        <f>$C$106*1000/D$49/D$52/$C$168</f>
        <v>6.9561288331600837</v>
      </c>
      <c r="F65" s="43"/>
      <c r="G65" s="43"/>
      <c r="H65" s="43"/>
      <c r="I65" s="43"/>
      <c r="J65" s="43"/>
      <c r="K65" s="43"/>
      <c r="L65" s="43"/>
      <c r="M65" s="43"/>
      <c r="N65" s="43"/>
      <c r="O65" s="43"/>
      <c r="P65" s="43"/>
      <c r="Q65" s="43"/>
      <c r="R65" s="43"/>
      <c r="S65" s="43"/>
    </row>
    <row r="66" spans="1:19" x14ac:dyDescent="0.2">
      <c r="A66" s="91"/>
      <c r="B66" s="80" t="str">
        <f>'Parameters List'!B66</f>
        <v>Optimal Peak2Peak Seperation (m/s)</v>
      </c>
      <c r="C66" s="70">
        <f>(C$67+C$68+(C$67+1))*C$65</f>
        <v>18.259838187045219</v>
      </c>
      <c r="D66" s="70">
        <f>(D$67+D$68+(D$67+1))*D$65</f>
        <v>187.81547849532225</v>
      </c>
      <c r="F66" s="43"/>
      <c r="G66" s="43"/>
      <c r="H66" s="43"/>
      <c r="I66" s="43"/>
      <c r="J66" s="43"/>
      <c r="K66" s="43"/>
      <c r="L66" s="43"/>
      <c r="M66" s="43"/>
      <c r="N66" s="43"/>
      <c r="O66" s="43"/>
      <c r="P66" s="43"/>
      <c r="Q66" s="43"/>
      <c r="R66" s="43"/>
      <c r="S66" s="43"/>
    </row>
    <row r="67" spans="1:19" x14ac:dyDescent="0.2">
      <c r="A67" s="91"/>
      <c r="B67" s="95" t="str">
        <f>'Parameters List'!B67</f>
        <v># FFT bins of peak spreading (one side)</v>
      </c>
      <c r="C67" s="67">
        <f>ROUND((($C$200-1) / 2) * (C$52 / C$51) + (C$62*C$30/1000)/C$65,0)</f>
        <v>4</v>
      </c>
      <c r="D67" s="67">
        <f>ROUND((($C$200-1) / 2) * (D$52 / D$51) + (D$62*D$30/1000)/D$65,0)</f>
        <v>5</v>
      </c>
      <c r="F67" s="43"/>
      <c r="G67" s="43"/>
      <c r="H67" s="43"/>
      <c r="I67" s="43"/>
      <c r="J67" s="43"/>
      <c r="K67" s="43"/>
      <c r="L67" s="43"/>
      <c r="M67" s="43"/>
      <c r="N67" s="43"/>
      <c r="O67" s="43"/>
      <c r="P67" s="43"/>
      <c r="Q67" s="43"/>
      <c r="R67" s="43"/>
      <c r="S67" s="43"/>
    </row>
    <row r="68" spans="1:19" x14ac:dyDescent="0.2">
      <c r="A68" s="91"/>
      <c r="B68" s="95" t="str">
        <f>'Parameters List'!B68</f>
        <v># FFT bins for noise estimation (one side)</v>
      </c>
      <c r="C68" s="67">
        <f>ROUND((($C$201-1)/2*$C$197/$C$199)*(C$52/C$51),0)</f>
        <v>12</v>
      </c>
      <c r="D68" s="67">
        <f>ROUND((($C$201-1)/2*$C$197/$C$199)*(D$52/D$51),0)</f>
        <v>16</v>
      </c>
      <c r="F68" s="43"/>
      <c r="G68" s="43"/>
      <c r="H68" s="43"/>
      <c r="I68" s="43"/>
      <c r="J68" s="43"/>
      <c r="K68" s="43"/>
      <c r="L68" s="43"/>
      <c r="M68" s="43"/>
      <c r="N68" s="43"/>
      <c r="O68" s="43"/>
      <c r="P68" s="43"/>
      <c r="Q68" s="43"/>
      <c r="R68" s="43"/>
      <c r="S68" s="43"/>
    </row>
    <row r="69" spans="1:19" x14ac:dyDescent="0.2">
      <c r="A69" s="91"/>
      <c r="B69" s="95" t="str">
        <f>'Parameters List'!B69</f>
        <v># FFT bins of clutter margin (one side)</v>
      </c>
      <c r="C69" s="67">
        <f>C$57/C$65</f>
        <v>4.8619520000000005</v>
      </c>
      <c r="D69" s="67">
        <f>D$57/D$65</f>
        <v>5.1077439999999994</v>
      </c>
      <c r="F69" s="43"/>
      <c r="G69" s="43"/>
      <c r="H69" s="43"/>
      <c r="I69" s="43"/>
      <c r="J69" s="43"/>
      <c r="K69" s="43"/>
      <c r="L69" s="43"/>
      <c r="M69" s="43"/>
      <c r="N69" s="43"/>
      <c r="O69" s="43"/>
      <c r="P69" s="43"/>
      <c r="Q69" s="43"/>
      <c r="R69" s="43"/>
      <c r="S69" s="43"/>
    </row>
    <row r="70" spans="1:19" x14ac:dyDescent="0.2">
      <c r="A70" s="91"/>
      <c r="B70" s="95" t="str">
        <f>'Parameters List'!B70</f>
        <v># FFT bins to min velocity</v>
      </c>
      <c r="C70" s="67">
        <f>FLOOR(C$58/C$65,1)</f>
        <v>0</v>
      </c>
      <c r="D70" s="67">
        <f>FLOOR(D$58/D$65,1)</f>
        <v>0</v>
      </c>
      <c r="F70" s="43"/>
      <c r="G70" s="43"/>
      <c r="H70" s="43"/>
      <c r="I70" s="43"/>
      <c r="J70" s="43"/>
      <c r="K70" s="43"/>
      <c r="L70" s="43"/>
      <c r="M70" s="43"/>
      <c r="N70" s="43"/>
      <c r="O70" s="43"/>
      <c r="P70" s="43"/>
      <c r="Q70" s="43"/>
      <c r="R70" s="43"/>
      <c r="S70" s="43"/>
    </row>
    <row r="71" spans="1:19" x14ac:dyDescent="0.2">
      <c r="A71" s="91"/>
      <c r="B71" s="95" t="str">
        <f>'Parameters List'!B71</f>
        <v># FFT bins to max velocity</v>
      </c>
      <c r="C71" s="67">
        <f>CEILING(C$59/C$65,1)</f>
        <v>24</v>
      </c>
      <c r="D71" s="67">
        <f>CEILING(D$59/D$65,1)</f>
        <v>3</v>
      </c>
      <c r="F71" s="43"/>
      <c r="G71" s="43"/>
      <c r="H71" s="43"/>
      <c r="I71" s="43"/>
      <c r="J71" s="43"/>
      <c r="K71" s="43"/>
      <c r="L71" s="43"/>
      <c r="M71" s="43"/>
      <c r="N71" s="43"/>
      <c r="O71" s="43"/>
      <c r="P71" s="43"/>
      <c r="Q71" s="43"/>
      <c r="R71" s="43"/>
      <c r="S71" s="43"/>
    </row>
    <row r="72" spans="1:19" x14ac:dyDescent="0.2">
      <c r="A72" s="91" t="s">
        <v>81</v>
      </c>
      <c r="B72" s="95" t="str">
        <f>'Parameters List'!B72</f>
        <v>Noise Mask (example: '-13,-4,4,13)</v>
      </c>
      <c r="C72" s="67" t="str">
        <f>CONCATENATE(TEXT(-C$68-C$67,"0"),",",TEXT(-C$67-1,"0"),",",TEXT(C$67+1,"0"),",",TEXT(C$68+C$67,"0"))</f>
        <v>-16,-5,5,16</v>
      </c>
      <c r="D72" s="67" t="str">
        <f>CONCATENATE(TEXT(-D$68-D$67,"0"),",",TEXT(-D$67-1,"0"),",",TEXT(D$67+1,"0"),",",TEXT(D$68+D$67,"0"))</f>
        <v>-21,-6,6,21</v>
      </c>
      <c r="F72" s="43"/>
      <c r="G72" s="43"/>
      <c r="H72" s="43"/>
      <c r="I72" s="43"/>
      <c r="J72" s="43"/>
      <c r="K72" s="43"/>
      <c r="L72" s="43"/>
      <c r="M72" s="43"/>
      <c r="N72" s="43"/>
      <c r="O72" s="43"/>
      <c r="P72" s="43"/>
      <c r="Q72" s="43"/>
      <c r="R72" s="43"/>
      <c r="S72" s="43"/>
    </row>
    <row r="73" spans="1:19" x14ac:dyDescent="0.2">
      <c r="A73" s="91" t="s">
        <v>81</v>
      </c>
      <c r="B73" s="94" t="str">
        <f>'Parameters List'!B73</f>
        <v>Options (see Options List sheet)</v>
      </c>
      <c r="C73" s="101" t="s">
        <v>86</v>
      </c>
      <c r="D73" s="101" t="s">
        <v>86</v>
      </c>
      <c r="F73" s="43"/>
      <c r="G73" s="43"/>
      <c r="H73" s="43"/>
      <c r="I73" s="43"/>
      <c r="J73" s="43"/>
      <c r="K73" s="43"/>
      <c r="L73" s="43"/>
      <c r="M73" s="43"/>
      <c r="N73" s="43"/>
      <c r="O73" s="43"/>
      <c r="P73" s="43"/>
      <c r="Q73" s="43"/>
      <c r="R73" s="43"/>
      <c r="S73" s="43"/>
    </row>
    <row r="74" spans="1:19" x14ac:dyDescent="0.2">
      <c r="A74" s="91" t="s">
        <v>81</v>
      </c>
      <c r="B74" s="94" t="str">
        <f>'Parameters List'!B74</f>
        <v>SNR Threshold (dB)</v>
      </c>
      <c r="C74" s="73">
        <v>12</v>
      </c>
      <c r="D74" s="73">
        <v>14</v>
      </c>
      <c r="F74" s="43"/>
      <c r="G74" s="43"/>
      <c r="H74" s="43"/>
      <c r="I74" s="43"/>
      <c r="J74" s="43"/>
      <c r="K74" s="43"/>
      <c r="L74" s="43"/>
      <c r="M74" s="43"/>
      <c r="N74" s="43"/>
      <c r="O74" s="43"/>
      <c r="P74" s="43"/>
      <c r="Q74" s="43"/>
      <c r="R74" s="43"/>
      <c r="S74" s="43"/>
    </row>
    <row r="75" spans="1:19" x14ac:dyDescent="0.2">
      <c r="A75" s="91"/>
      <c r="B75" s="80" t="str">
        <f>'Parameters List'!B75</f>
        <v>Probability of False Alarm</v>
      </c>
      <c r="C75" s="70">
        <f>pf_PD_PFA_CFAR("pfa", C$74, C$120, C$121, C$68*2, 1)</f>
        <v>5.1888289024436828E-6</v>
      </c>
      <c r="D75" s="70">
        <f>pf_PD_PFA_CFAR("pfa", D$74, D$120, D$121, D$68*2, 1)</f>
        <v>8.8685631549264631E-9</v>
      </c>
      <c r="F75" s="43"/>
      <c r="G75" s="43"/>
      <c r="H75" s="43"/>
      <c r="I75" s="43"/>
      <c r="J75" s="43"/>
      <c r="K75" s="43"/>
      <c r="L75" s="43"/>
      <c r="M75" s="43"/>
      <c r="N75" s="43"/>
      <c r="O75" s="43"/>
      <c r="P75" s="43"/>
      <c r="Q75" s="43"/>
      <c r="R75" s="43"/>
      <c r="S75" s="43"/>
    </row>
    <row r="76" spans="1:19" x14ac:dyDescent="0.2">
      <c r="A76" s="91"/>
      <c r="B76" s="80" t="str">
        <f>'Parameters List'!B76</f>
        <v>Probability of False Alarm per CPI</v>
      </c>
      <c r="C76" s="70">
        <f>C$75*C$52*C$53</f>
        <v>0.23378787502850257</v>
      </c>
      <c r="D76" s="70">
        <f>D$75*D$52*D$53</f>
        <v>0</v>
      </c>
      <c r="F76" s="43"/>
      <c r="G76" s="43"/>
      <c r="H76" s="43"/>
      <c r="I76" s="43"/>
      <c r="J76" s="43"/>
      <c r="K76" s="43"/>
      <c r="L76" s="43"/>
      <c r="M76" s="43"/>
      <c r="N76" s="43"/>
      <c r="O76" s="43"/>
      <c r="P76" s="43"/>
      <c r="Q76" s="43"/>
      <c r="R76" s="43"/>
      <c r="S76" s="43"/>
    </row>
    <row r="77" spans="1:19" x14ac:dyDescent="0.2">
      <c r="A77" s="91"/>
      <c r="B77" s="80" t="str">
        <f>'Parameters List'!B77</f>
        <v>Probability of False Alarm per SEC</v>
      </c>
      <c r="C77" s="70">
        <f>C$76/(C$30/1000)</f>
        <v>4.7465378733372559</v>
      </c>
      <c r="D77" s="70">
        <f>D$76/(D$30/1000)</f>
        <v>0</v>
      </c>
      <c r="F77" s="43"/>
      <c r="G77" s="43"/>
      <c r="H77" s="43"/>
      <c r="I77" s="43"/>
      <c r="J77" s="43"/>
      <c r="K77" s="43"/>
      <c r="L77" s="43"/>
      <c r="M77" s="43"/>
      <c r="N77" s="43"/>
      <c r="O77" s="43"/>
      <c r="P77" s="43"/>
      <c r="Q77" s="43"/>
      <c r="R77" s="43"/>
      <c r="S77" s="43"/>
    </row>
    <row r="78" spans="1:19" x14ac:dyDescent="0.2">
      <c r="A78" s="91"/>
      <c r="B78" s="94" t="str">
        <f>'Parameters List'!B78</f>
        <v>Max Tgt SNR (dB)</v>
      </c>
      <c r="C78" s="101">
        <v>45</v>
      </c>
      <c r="D78" s="101">
        <v>45</v>
      </c>
      <c r="F78" s="43"/>
      <c r="G78" s="43"/>
      <c r="H78" s="43"/>
      <c r="I78" s="43"/>
      <c r="J78" s="43"/>
      <c r="K78" s="43"/>
      <c r="L78" s="43"/>
      <c r="M78" s="43"/>
      <c r="N78" s="43"/>
      <c r="O78" s="43"/>
      <c r="P78" s="43"/>
      <c r="Q78" s="43"/>
      <c r="R78" s="43"/>
      <c r="S78" s="43"/>
    </row>
    <row r="79" spans="1:19" x14ac:dyDescent="0.2">
      <c r="A79" s="91" t="s">
        <v>81</v>
      </c>
      <c r="B79" s="80" t="str">
        <f>'Parameters List'!B79</f>
        <v>STC Init Range (m)</v>
      </c>
      <c r="C79" s="70">
        <f>10^((40*LOG10(C$44)-(C$78-C$99)) / 40)</f>
        <v>1763.6940283606734</v>
      </c>
      <c r="D79" s="70">
        <f>10^((40*LOG10(D$44)-(D$78-D$99)) / 40)</f>
        <v>1080.0674008069891</v>
      </c>
      <c r="F79" s="43"/>
      <c r="G79" s="43"/>
      <c r="H79" s="43"/>
      <c r="I79" s="43"/>
      <c r="J79" s="43"/>
      <c r="K79" s="43"/>
      <c r="L79" s="43"/>
      <c r="M79" s="43"/>
      <c r="N79" s="43"/>
      <c r="O79" s="43"/>
      <c r="P79" s="43"/>
      <c r="Q79" s="43"/>
      <c r="R79" s="43"/>
      <c r="S79" s="43"/>
    </row>
    <row r="80" spans="1:19" x14ac:dyDescent="0.2">
      <c r="A80" s="91"/>
      <c r="B80" s="94" t="str">
        <f>'Parameters List'!B80</f>
        <v>Tapered Array (0/1)</v>
      </c>
      <c r="C80" s="101">
        <v>0</v>
      </c>
      <c r="D80" s="101">
        <v>0</v>
      </c>
      <c r="F80" s="43"/>
      <c r="G80" s="43"/>
      <c r="H80" s="43"/>
      <c r="I80" s="43"/>
      <c r="J80" s="43"/>
      <c r="K80" s="43"/>
      <c r="L80" s="43"/>
      <c r="M80" s="43"/>
      <c r="N80" s="43"/>
      <c r="O80" s="43"/>
      <c r="P80" s="43"/>
      <c r="Q80" s="43"/>
      <c r="R80" s="43"/>
      <c r="S80" s="43"/>
    </row>
    <row r="81" spans="1:19" x14ac:dyDescent="0.2">
      <c r="A81" s="91"/>
      <c r="B81" s="94" t="str">
        <f>'Parameters List'!B81</f>
        <v>AGC Set (1-6)</v>
      </c>
      <c r="C81" s="101">
        <v>1</v>
      </c>
      <c r="D81" s="101">
        <v>1</v>
      </c>
      <c r="F81" s="43"/>
      <c r="G81" s="43"/>
      <c r="H81" s="43"/>
      <c r="I81" s="43"/>
      <c r="J81" s="43"/>
      <c r="K81" s="43"/>
      <c r="L81" s="43"/>
      <c r="M81" s="43"/>
      <c r="N81" s="43"/>
      <c r="O81" s="43"/>
      <c r="P81" s="43"/>
      <c r="Q81" s="43"/>
      <c r="R81" s="43"/>
      <c r="S81" s="43"/>
    </row>
    <row r="82" spans="1:19" x14ac:dyDescent="0.2">
      <c r="A82" s="91"/>
      <c r="B82" s="95" t="str">
        <f>'Parameters List'!B82</f>
        <v>RF AGC (dB) - 1st Rx</v>
      </c>
      <c r="C82" s="67">
        <f>VLOOKUP(C$81,'AGC Set Table'!$A$3:$K$9,2,FALSE)</f>
        <v>0</v>
      </c>
      <c r="D82" s="67">
        <f>VLOOKUP(D$81,'AGC Set Table'!$A$3:$K$9,2,FALSE)</f>
        <v>0</v>
      </c>
      <c r="F82" s="43"/>
      <c r="G82" s="43"/>
      <c r="H82" s="43"/>
      <c r="I82" s="43"/>
      <c r="J82" s="43"/>
      <c r="K82" s="43"/>
      <c r="L82" s="43"/>
      <c r="M82" s="43"/>
      <c r="N82" s="43"/>
      <c r="O82" s="43"/>
      <c r="P82" s="43"/>
      <c r="Q82" s="43"/>
      <c r="R82" s="43"/>
      <c r="S82" s="43"/>
    </row>
    <row r="83" spans="1:19" x14ac:dyDescent="0.2">
      <c r="A83" s="91"/>
      <c r="B83" s="95" t="str">
        <f>'Parameters List'!B83</f>
        <v>IF AGC (dB) - 1st Rx</v>
      </c>
      <c r="C83" s="67">
        <f>VLOOKUP(C$81,'AGC Set Table'!$A$3:$K$9,3,FALSE)</f>
        <v>15</v>
      </c>
      <c r="D83" s="67">
        <f>VLOOKUP(D$81,'AGC Set Table'!$A$3:$K$9,3,FALSE)</f>
        <v>15</v>
      </c>
      <c r="F83" s="43"/>
      <c r="G83" s="43"/>
      <c r="H83" s="43"/>
      <c r="I83" s="43"/>
      <c r="J83" s="43"/>
      <c r="K83" s="43"/>
      <c r="L83" s="43"/>
      <c r="M83" s="43"/>
      <c r="N83" s="43"/>
      <c r="O83" s="43"/>
      <c r="P83" s="43"/>
      <c r="Q83" s="43"/>
      <c r="R83" s="43"/>
      <c r="S83" s="43"/>
    </row>
    <row r="84" spans="1:19" x14ac:dyDescent="0.2">
      <c r="A84" s="91"/>
      <c r="B84" s="95" t="str">
        <f>'Parameters List'!B84</f>
        <v>RF AGC (dB) - Ref Rx</v>
      </c>
      <c r="C84" s="67">
        <f>VLOOKUP(C$81,'AGC Set Table'!$A$3:$K$9,8,FALSE)</f>
        <v>0</v>
      </c>
      <c r="D84" s="67">
        <f>VLOOKUP(D$81,'AGC Set Table'!$A$3:$K$9,8,FALSE)</f>
        <v>0</v>
      </c>
      <c r="F84" s="43"/>
      <c r="G84" s="43"/>
      <c r="H84" s="43"/>
      <c r="I84" s="43"/>
      <c r="J84" s="43"/>
      <c r="K84" s="43"/>
      <c r="L84" s="43"/>
      <c r="M84" s="43"/>
      <c r="N84" s="43"/>
      <c r="O84" s="43"/>
      <c r="P84" s="43"/>
      <c r="Q84" s="43"/>
      <c r="R84" s="43"/>
      <c r="S84" s="43"/>
    </row>
    <row r="85" spans="1:19" x14ac:dyDescent="0.2">
      <c r="A85" s="91"/>
      <c r="B85" s="95" t="str">
        <f>'Parameters List'!B85</f>
        <v>IF AGC (dB) - Ref Rx</v>
      </c>
      <c r="C85" s="67">
        <f>VLOOKUP(C$81,'AGC Set Table'!$A$3:$K$9,9,FALSE)</f>
        <v>5</v>
      </c>
      <c r="D85" s="67">
        <f>VLOOKUP(D$81,'AGC Set Table'!$A$3:$K$9,9,FALSE)</f>
        <v>5</v>
      </c>
      <c r="F85" s="43"/>
      <c r="G85" s="43"/>
      <c r="H85" s="43"/>
      <c r="I85" s="43"/>
      <c r="J85" s="43"/>
      <c r="K85" s="43"/>
      <c r="L85" s="43"/>
      <c r="M85" s="43"/>
      <c r="N85" s="43"/>
      <c r="O85" s="43"/>
      <c r="P85" s="43"/>
      <c r="Q85" s="43"/>
      <c r="R85" s="43"/>
      <c r="S85" s="43"/>
    </row>
    <row r="86" spans="1:19" x14ac:dyDescent="0.2">
      <c r="A86" s="91"/>
      <c r="B86" s="95" t="str">
        <f>'Parameters List'!B86</f>
        <v>NF @ADCout (dB) - 1st Rx</v>
      </c>
      <c r="C86" s="67">
        <f>VLOOKUP(C$81,'AGC Set Table'!$A$3:$K$9,IF(C$80=0,6,IF(C$80=1,7)),FALSE)</f>
        <v>2.75</v>
      </c>
      <c r="D86" s="67">
        <f>VLOOKUP(D$81,'AGC Set Table'!$A$3:$K$9,IF(D$80=0,6,IF(D$80=1,7)),FALSE)</f>
        <v>2.75</v>
      </c>
      <c r="F86" s="43"/>
      <c r="G86" s="43"/>
      <c r="H86" s="43"/>
      <c r="I86" s="43"/>
      <c r="J86" s="43"/>
      <c r="K86" s="43"/>
      <c r="L86" s="43"/>
      <c r="M86" s="43"/>
      <c r="N86" s="43"/>
      <c r="O86" s="43"/>
      <c r="P86" s="43"/>
      <c r="Q86" s="43"/>
      <c r="R86" s="43"/>
      <c r="S86" s="43"/>
    </row>
    <row r="87" spans="1:19" x14ac:dyDescent="0.2">
      <c r="A87" s="91"/>
      <c r="B87" s="95" t="str">
        <f>'Parameters List'!B87</f>
        <v>NF @ADCout (dB) - Ref Rx</v>
      </c>
      <c r="C87" s="67">
        <f>VLOOKUP(C$81,'AGC Set Table'!$A$3:$K$9,11,FALSE)</f>
        <v>2.5299999999999998</v>
      </c>
      <c r="D87" s="67">
        <f>VLOOKUP(D$81,'AGC Set Table'!$A$3:$K$9,11,FALSE)</f>
        <v>2.5299999999999998</v>
      </c>
      <c r="F87" s="43"/>
      <c r="G87" s="43"/>
      <c r="H87" s="43"/>
      <c r="I87" s="43"/>
      <c r="J87" s="43"/>
      <c r="K87" s="43"/>
      <c r="L87" s="43"/>
      <c r="M87" s="43"/>
      <c r="N87" s="43"/>
      <c r="O87" s="43"/>
      <c r="P87" s="43"/>
      <c r="Q87" s="43"/>
      <c r="R87" s="43"/>
      <c r="S87" s="43"/>
    </row>
    <row r="88" spans="1:19" x14ac:dyDescent="0.2">
      <c r="A88" s="91" t="s">
        <v>81</v>
      </c>
      <c r="B88" s="94" t="str">
        <f>'Parameters List'!B88</f>
        <v>RCS (m^2)</v>
      </c>
      <c r="C88" s="74">
        <v>0.01</v>
      </c>
      <c r="D88" s="74">
        <v>0.1</v>
      </c>
      <c r="F88" s="43"/>
      <c r="G88" s="43"/>
      <c r="H88" s="43"/>
      <c r="I88" s="43"/>
      <c r="J88" s="43"/>
      <c r="K88" s="43"/>
      <c r="L88" s="43"/>
      <c r="M88" s="43"/>
      <c r="N88" s="43"/>
      <c r="O88" s="43"/>
      <c r="P88" s="43"/>
      <c r="Q88" s="43"/>
      <c r="R88" s="43"/>
      <c r="S88" s="43"/>
    </row>
    <row r="89" spans="1:19" x14ac:dyDescent="0.2">
      <c r="A89" s="91"/>
      <c r="B89" s="95" t="str">
        <f>'Parameters List'!B89</f>
        <v>σ(dB/m2)</v>
      </c>
      <c r="C89" s="67">
        <f>10*LOG10(C$88)</f>
        <v>-20</v>
      </c>
      <c r="D89" s="67">
        <f>10*LOG10(D$88)</f>
        <v>-10</v>
      </c>
      <c r="F89" s="43"/>
      <c r="G89" s="43"/>
      <c r="H89" s="43"/>
      <c r="I89" s="43"/>
      <c r="J89" s="43"/>
      <c r="K89" s="43"/>
      <c r="L89" s="43"/>
      <c r="M89" s="43"/>
      <c r="N89" s="43"/>
      <c r="O89" s="43"/>
      <c r="P89" s="43"/>
      <c r="Q89" s="43"/>
      <c r="R89" s="43"/>
      <c r="S89" s="43"/>
    </row>
    <row r="90" spans="1:19" x14ac:dyDescent="0.2">
      <c r="A90" s="91"/>
      <c r="B90" s="80" t="str">
        <f>'Parameters List'!B90</f>
        <v>Tgt min range @ADCin (dBm) - Ref. Rx</v>
      </c>
      <c r="C90" s="70">
        <f>$C$185+$C$186+$C$188+C$89+$C$189-$C$190-40*LOG10(C$43)+$C$171-C$84-C$85-$C$179*(C$80=1)</f>
        <v>-74.654927997546451</v>
      </c>
      <c r="D90" s="70">
        <f>$C$185+$C$186+$C$188+D$89+$C$189-$C$190-40*LOG10(D$43)+$C$171-D$84-D$85-$C$179*(D$80=1)</f>
        <v>-43.739778186332956</v>
      </c>
      <c r="F90" s="43"/>
      <c r="G90" s="43"/>
      <c r="H90" s="43"/>
      <c r="I90" s="43"/>
      <c r="J90" s="43"/>
      <c r="K90" s="43"/>
      <c r="L90" s="43"/>
      <c r="M90" s="43"/>
      <c r="N90" s="43"/>
      <c r="O90" s="43"/>
      <c r="P90" s="43"/>
      <c r="Q90" s="43"/>
      <c r="R90" s="43"/>
      <c r="S90" s="43"/>
    </row>
    <row r="91" spans="1:19" x14ac:dyDescent="0.2">
      <c r="A91" s="91"/>
      <c r="B91" s="80" t="str">
        <f>'Parameters List'!B91</f>
        <v>Tgt max range @ADCin (dBm) - Ref. Rx</v>
      </c>
      <c r="C91" s="70">
        <f>$C$185+$C$186+$C$188+C$89+$C$189-$C$190-40*LOG10(C$44)+$C$171-C$84-C$85-$C$179*(C$80=1)</f>
        <v>-91.60995770820395</v>
      </c>
      <c r="D91" s="70">
        <f>$C$185+$C$186+$C$188+D$89+$C$189-$C$190-40*LOG10(D$44)+$C$171-D$84-D$85-$C$179*(D$80=1)</f>
        <v>-59.922601689174996</v>
      </c>
      <c r="F91" s="43"/>
      <c r="G91" s="43"/>
      <c r="H91" s="43"/>
      <c r="I91" s="43"/>
      <c r="J91" s="43"/>
      <c r="K91" s="43"/>
      <c r="L91" s="43"/>
      <c r="M91" s="43"/>
      <c r="N91" s="43"/>
      <c r="O91" s="43"/>
      <c r="P91" s="43"/>
      <c r="Q91" s="43"/>
      <c r="R91" s="43"/>
      <c r="S91" s="43"/>
    </row>
    <row r="92" spans="1:19" x14ac:dyDescent="0.2">
      <c r="A92" s="91"/>
      <c r="B92" s="95" t="str">
        <f>'Parameters List'!B92</f>
        <v>1st Rx Noise @ADCout (dBm/bin)</v>
      </c>
      <c r="C92" s="67">
        <f>C$86+$C$173+$C$171-C$84-C$85+10*LOG10($C$175*10^6)-$C$178*(C$80=1)+10*LOG10($C$156/$C$157)</f>
        <v>-36.229400086720375</v>
      </c>
      <c r="D92" s="67">
        <f>D$86+$C$173+$C$171-D$84-D$85+10*LOG10($C$175*10^6)-$C$178*(D$80=1)+10*LOG10($C$156/$C$157)</f>
        <v>-36.229400086720375</v>
      </c>
      <c r="F92" s="43"/>
      <c r="G92" s="43"/>
      <c r="H92" s="43"/>
      <c r="I92" s="43"/>
      <c r="J92" s="43"/>
      <c r="K92" s="43"/>
      <c r="L92" s="43"/>
      <c r="M92" s="43"/>
      <c r="N92" s="43"/>
      <c r="O92" s="43"/>
      <c r="P92" s="43"/>
      <c r="Q92" s="43"/>
      <c r="R92" s="43"/>
      <c r="S92" s="43"/>
    </row>
    <row r="93" spans="1:19" x14ac:dyDescent="0.2">
      <c r="A93" s="91"/>
      <c r="B93" s="95" t="str">
        <f>'Parameters List'!B93</f>
        <v>Ref Rx Noise @ADCout (dBm/bin)</v>
      </c>
      <c r="C93" s="67">
        <f>C$87+$C$173+$C$171-C$84-C$85+10*LOG10($C$175*10^6)-$C$180*(C$80=1)</f>
        <v>-46.449400086720374</v>
      </c>
      <c r="D93" s="67">
        <f>D$87+$C$173+$C$171-D$84-D$85+10*LOG10($C$175*10^6)-$C$180*(D$80=1)</f>
        <v>-46.449400086720374</v>
      </c>
      <c r="F93" s="43"/>
      <c r="G93" s="43"/>
      <c r="H93" s="43"/>
      <c r="I93" s="43"/>
      <c r="J93" s="43"/>
      <c r="K93" s="43"/>
      <c r="L93" s="43"/>
      <c r="M93" s="43"/>
      <c r="N93" s="43"/>
      <c r="O93" s="43"/>
      <c r="P93" s="43"/>
      <c r="Q93" s="43"/>
      <c r="R93" s="43"/>
      <c r="S93" s="43"/>
    </row>
    <row r="94" spans="1:19" x14ac:dyDescent="0.2">
      <c r="A94" s="91"/>
      <c r="B94" s="95" t="str">
        <f>'Parameters List'!B94</f>
        <v>Total Noise @ADCout (dBm/bin)</v>
      </c>
      <c r="C94" s="67">
        <f>10*LOG10(10^((C$93 + 10*LOG10($C$157))/10) + 10^((C$92 + 10*LOG10(($C$182-$C$157) / $C$156))/10))+ (10*LOG10(C$34) - C$35) * (C$34&gt;1)</f>
        <v>-27.096496928308373</v>
      </c>
      <c r="D94" s="67">
        <f>10*LOG10(10^((D$93 + 10*LOG10($C$157))/10) + 10^((D$92 + 10*LOG10(($C$182-$C$157) / $C$156))/10))+ (10*LOG10(D$34) - D$35) * (D$34&gt;1)</f>
        <v>-30.106796884948185</v>
      </c>
      <c r="F94" s="43"/>
      <c r="G94" s="43"/>
      <c r="H94" s="43"/>
      <c r="I94" s="43"/>
      <c r="J94" s="43"/>
      <c r="K94" s="43"/>
      <c r="L94" s="43"/>
      <c r="M94" s="43"/>
      <c r="N94" s="43"/>
      <c r="O94" s="43"/>
      <c r="P94" s="43"/>
      <c r="Q94" s="43"/>
      <c r="R94" s="43"/>
      <c r="S94" s="43"/>
    </row>
    <row r="95" spans="1:19" x14ac:dyDescent="0.2">
      <c r="A95" s="91" t="s">
        <v>81</v>
      </c>
      <c r="B95" s="95" t="str">
        <f>'Parameters List'!B95</f>
        <v>Rx Processing Gain (dB)</v>
      </c>
      <c r="C95" s="67">
        <f>10*LOG10(C$46/2 * C$48 * C$51 * C$49) - $C$195</f>
        <v>54.213033002746116</v>
      </c>
      <c r="D95" s="67">
        <f>10*LOG10(D$46/2 * D$48 * D$51 * D$49) - $C$195</f>
        <v>38.703958313940305</v>
      </c>
      <c r="F95" s="43"/>
      <c r="G95" s="43"/>
      <c r="H95" s="43"/>
      <c r="I95" s="43"/>
      <c r="J95" s="43"/>
      <c r="K95" s="43"/>
      <c r="L95" s="43"/>
      <c r="M95" s="43"/>
      <c r="N95" s="43"/>
      <c r="O95" s="43"/>
      <c r="P95" s="43"/>
      <c r="Q95" s="43"/>
      <c r="R95" s="43"/>
      <c r="S95" s="43"/>
    </row>
    <row r="96" spans="1:19" x14ac:dyDescent="0.2">
      <c r="A96" s="91"/>
      <c r="B96" s="95" t="str">
        <f>'Parameters List'!B96</f>
        <v>Total Processing Gain (dB)</v>
      </c>
      <c r="C96" s="67">
        <f>C$95 + 20*LOG10($C$182) + (20*LOG10(C$34) - 2 * C$35) * (C$34&gt;1)-$C$179*(C$80=1)-$C$177*(C$80=1)</f>
        <v>92.489310050420443</v>
      </c>
      <c r="D96" s="67">
        <f>D$95 + 20*LOG10($C$182) + (20*LOG10(D$34) - 2 * D$35) * (D$34&gt;1)-$C$179*(D$80=1)-$C$177*(D$80=1)</f>
        <v>70.959635448335007</v>
      </c>
      <c r="F96" s="43"/>
      <c r="G96" s="43"/>
      <c r="H96" s="43"/>
      <c r="I96" s="43"/>
      <c r="J96" s="43"/>
      <c r="K96" s="43"/>
      <c r="L96" s="43"/>
      <c r="M96" s="43"/>
      <c r="N96" s="43"/>
      <c r="O96" s="43"/>
      <c r="P96" s="43"/>
      <c r="Q96" s="43"/>
      <c r="R96" s="43"/>
      <c r="S96" s="43"/>
    </row>
    <row r="97" spans="1:19" x14ac:dyDescent="0.2">
      <c r="A97" s="92"/>
      <c r="B97" s="95" t="str">
        <f>'Parameters List'!B97</f>
        <v>Total Loss (dB)</v>
      </c>
      <c r="C97" s="67">
        <f>$C$191 + ($C$202*(C$47=0)+$C$203*(C$47=1)+$C$198) + C$61 + C$64</f>
        <v>1.6633115861568424</v>
      </c>
      <c r="D97" s="67">
        <f>$C$191 + ($C$202*(D$47=0)+$C$203*(D$47=1)+$C$198) + D$61 + D$64</f>
        <v>1.6628323922311923</v>
      </c>
    </row>
    <row r="98" spans="1:19" x14ac:dyDescent="0.2">
      <c r="A98" s="91"/>
      <c r="B98" s="80" t="str">
        <f>'Parameters List'!B98</f>
        <v>SNR min range (dB)</v>
      </c>
      <c r="C98" s="70">
        <f>C$90+C$96-C$94-C$97</f>
        <v>43.267567395025516</v>
      </c>
      <c r="D98" s="70">
        <f>D$90+D$96-D$94-D$97</f>
        <v>55.663821754719038</v>
      </c>
      <c r="F98" s="43"/>
      <c r="G98" s="43"/>
      <c r="H98" s="43"/>
      <c r="I98" s="43"/>
      <c r="J98" s="43"/>
      <c r="K98" s="43"/>
      <c r="L98" s="43"/>
      <c r="M98" s="43"/>
      <c r="N98" s="43"/>
      <c r="O98" s="43"/>
      <c r="P98" s="43"/>
      <c r="Q98" s="43"/>
      <c r="R98" s="43"/>
      <c r="S98" s="43"/>
    </row>
    <row r="99" spans="1:19" x14ac:dyDescent="0.2">
      <c r="A99" s="91"/>
      <c r="B99" s="80" t="str">
        <f>'Parameters List'!B99</f>
        <v>SNR max range (dB)</v>
      </c>
      <c r="C99" s="70">
        <f>C$91+C$96-C$94-C$97</f>
        <v>26.312537684368024</v>
      </c>
      <c r="D99" s="70">
        <f>D$91+D$96-D$94-D$97</f>
        <v>39.480998251876997</v>
      </c>
      <c r="F99" s="43"/>
      <c r="G99" s="43"/>
      <c r="H99" s="43"/>
      <c r="I99" s="43"/>
      <c r="J99" s="43"/>
      <c r="K99" s="43"/>
      <c r="L99" s="43"/>
      <c r="M99" s="43"/>
      <c r="N99" s="43"/>
      <c r="O99" s="43"/>
      <c r="P99" s="43"/>
      <c r="Q99" s="43"/>
      <c r="R99" s="43"/>
      <c r="S99" s="43"/>
    </row>
    <row r="100" spans="1:19" x14ac:dyDescent="0.2">
      <c r="A100" s="91"/>
      <c r="B100" s="95" t="str">
        <f>'Parameters List'!B100</f>
        <v>Duty cycle per beam</v>
      </c>
      <c r="C100" s="67">
        <f>C$36/$C$104</f>
        <v>0.27027027027027029</v>
      </c>
      <c r="D100" s="67">
        <f>D$36/$C$104</f>
        <v>8.1081081081081086E-2</v>
      </c>
      <c r="F100" s="43"/>
      <c r="G100" s="43"/>
      <c r="H100" s="43"/>
      <c r="I100" s="43"/>
      <c r="J100" s="43"/>
      <c r="K100" s="43"/>
      <c r="L100" s="43"/>
      <c r="M100" s="43"/>
      <c r="N100" s="43"/>
      <c r="O100" s="43"/>
      <c r="P100" s="43"/>
      <c r="Q100" s="43"/>
      <c r="R100" s="43"/>
      <c r="S100" s="43"/>
    </row>
    <row r="101" spans="1:19" x14ac:dyDescent="0.2">
      <c r="A101" s="91"/>
      <c r="B101" s="95" t="str">
        <f>'Parameters List'!B101</f>
        <v>Buffer size (KB)</v>
      </c>
      <c r="C101" s="67">
        <f>MROUND((IF(C$21, $C$210*$C$155, C$54)*C$51*8+64)/1024,4)</f>
        <v>1760</v>
      </c>
      <c r="D101" s="67">
        <f>MROUND((IF(D$21, $C$210*$C$155, D$54)*D$51*8+64)/1024,4)</f>
        <v>0</v>
      </c>
      <c r="F101" s="43"/>
      <c r="G101" s="43"/>
      <c r="H101" s="43"/>
      <c r="I101" s="43"/>
      <c r="J101" s="43"/>
      <c r="K101" s="43"/>
      <c r="L101" s="43"/>
      <c r="M101" s="43"/>
      <c r="N101" s="43"/>
      <c r="O101" s="43"/>
      <c r="P101" s="43"/>
      <c r="Q101" s="43"/>
      <c r="R101" s="43"/>
      <c r="S101" s="43"/>
    </row>
    <row r="102" spans="1:19" x14ac:dyDescent="0.2">
      <c r="A102" s="91"/>
      <c r="B102" s="95" t="str">
        <f>'Parameters List'!B102</f>
        <v>PCIe Rate MB/s</v>
      </c>
      <c r="C102" s="67">
        <f>C$101*1024/C$30/1024</f>
        <v>35.732848232848227</v>
      </c>
      <c r="D102" s="67">
        <f>D$101*1024/D$30/1024</f>
        <v>0</v>
      </c>
      <c r="F102" s="43"/>
      <c r="G102" s="43"/>
      <c r="H102" s="43"/>
      <c r="I102" s="43"/>
      <c r="J102" s="43"/>
      <c r="K102" s="43"/>
      <c r="L102" s="43"/>
      <c r="M102" s="43"/>
      <c r="N102" s="43"/>
      <c r="O102" s="43"/>
      <c r="P102" s="43"/>
      <c r="Q102" s="43"/>
      <c r="R102" s="43"/>
      <c r="S102" s="43"/>
    </row>
    <row r="103" spans="1:19" ht="15" customHeight="1" x14ac:dyDescent="0.2">
      <c r="B103" s="6"/>
      <c r="F103" s="43"/>
      <c r="G103" s="43"/>
      <c r="H103" s="43"/>
      <c r="I103" s="43"/>
      <c r="J103" s="43"/>
      <c r="K103" s="43"/>
      <c r="L103" s="43"/>
      <c r="M103" s="43"/>
      <c r="N103" s="43"/>
      <c r="O103" s="43"/>
      <c r="P103" s="43"/>
      <c r="Q103" s="43"/>
      <c r="R103" s="43"/>
      <c r="S103" s="43"/>
    </row>
    <row r="104" spans="1:19" x14ac:dyDescent="0.2">
      <c r="B104" s="76" t="str">
        <f>'Parameters List'!B104</f>
        <v>Total PRI (μs)</v>
      </c>
      <c r="C104" s="77">
        <f>(SUMIF($E$13:$AJ$13,"=1",$E$18:$AJ$18)*C$46+SUMIF($E$13:$AJ$13,"=2",$E$18:$AJ$18)*D$46)*$C$174+$C$208+COUNTIFS(E$13:AJ$13,"=1",E$15:AJ$15,"=1") * C$32 + COUNTIFS(E$13:AJ$13,"=1",E$15:AJ$15,"=2") * C$33 + COUNTIFS(E$13:AJ$13,"=2",E$15:AJ$15,"=1") * D$32 + COUNTIFS(E$13:AJ$13,"=2",E$15:AJ$15,"=2") * D$33</f>
        <v>48.1</v>
      </c>
      <c r="F104" s="43"/>
      <c r="G104" s="43"/>
      <c r="H104" s="43"/>
      <c r="I104" s="43"/>
      <c r="J104" s="43"/>
      <c r="K104" s="43"/>
      <c r="L104" s="43"/>
      <c r="M104" s="43"/>
      <c r="N104" s="43"/>
      <c r="O104" s="43"/>
      <c r="P104" s="43"/>
      <c r="Q104" s="43"/>
      <c r="R104" s="43"/>
      <c r="S104" s="43"/>
    </row>
    <row r="105" spans="1:19" x14ac:dyDescent="0.2">
      <c r="B105" s="76" t="str">
        <f>'Parameters List'!B105</f>
        <v>Unambiguous Range (km)</v>
      </c>
      <c r="C105" s="77">
        <f>$C$104*$C$163/1000</f>
        <v>7.2100086149000004</v>
      </c>
      <c r="F105" s="43"/>
      <c r="G105" s="43"/>
      <c r="H105" s="43"/>
      <c r="I105" s="43"/>
      <c r="J105" s="43"/>
      <c r="K105" s="43"/>
      <c r="L105" s="43"/>
      <c r="M105" s="43"/>
      <c r="N105" s="43"/>
      <c r="O105" s="43"/>
      <c r="P105" s="43"/>
      <c r="Q105" s="43"/>
      <c r="R105" s="43"/>
      <c r="S105" s="43"/>
    </row>
    <row r="106" spans="1:19" x14ac:dyDescent="0.2">
      <c r="B106" s="76" t="str">
        <f>'Parameters List'!B106</f>
        <v>Total PRF (kHz)</v>
      </c>
      <c r="C106" s="77">
        <f>1000/$C$104</f>
        <v>20.79002079002079</v>
      </c>
      <c r="F106" s="43"/>
      <c r="G106" s="43"/>
      <c r="H106" s="43"/>
      <c r="I106" s="43"/>
      <c r="J106" s="43"/>
      <c r="K106" s="43"/>
      <c r="L106" s="43"/>
      <c r="M106" s="43"/>
      <c r="N106" s="43"/>
      <c r="O106" s="43"/>
      <c r="P106" s="43"/>
      <c r="Q106" s="43"/>
      <c r="R106" s="43"/>
      <c r="S106" s="43"/>
    </row>
    <row r="107" spans="1:19" x14ac:dyDescent="0.2">
      <c r="B107" s="76" t="str">
        <f>'Parameters List'!B107</f>
        <v>Folding (Blind) Velocity (m/s)</v>
      </c>
      <c r="C107" s="77">
        <f>1000*$C$106/$C$168</f>
        <v>890.38449064449071</v>
      </c>
      <c r="F107" s="43"/>
      <c r="G107" s="43"/>
      <c r="H107" s="43"/>
      <c r="I107" s="43"/>
      <c r="J107" s="43"/>
      <c r="K107" s="43"/>
      <c r="L107" s="43"/>
      <c r="M107" s="43"/>
      <c r="N107" s="43"/>
      <c r="O107" s="43"/>
      <c r="P107" s="43"/>
      <c r="Q107" s="43"/>
      <c r="R107" s="43"/>
      <c r="S107" s="43"/>
    </row>
    <row r="108" spans="1:19" x14ac:dyDescent="0.2">
      <c r="B108" s="76" t="str">
        <f>'Parameters List'!B108</f>
        <v>Max Trk Vr STD for Res Vel Amb (m/s)</v>
      </c>
      <c r="C108" s="77">
        <f>$C$107/4</f>
        <v>222.59612266112268</v>
      </c>
      <c r="F108" s="43"/>
      <c r="G108" s="43"/>
      <c r="H108" s="43"/>
      <c r="I108" s="43"/>
      <c r="J108" s="43"/>
      <c r="K108" s="43"/>
      <c r="L108" s="43"/>
      <c r="M108" s="43"/>
      <c r="N108" s="43"/>
      <c r="O108" s="43"/>
      <c r="P108" s="43"/>
      <c r="Q108" s="43"/>
      <c r="R108" s="43"/>
      <c r="S108" s="43"/>
    </row>
    <row r="109" spans="1:19" x14ac:dyDescent="0.2">
      <c r="B109" s="76" t="str">
        <f>'Parameters List'!B109</f>
        <v>Antenna 1 PA Duty cycle</v>
      </c>
      <c r="C109" s="77">
        <f>C$100*IF(C$27&gt;0,C$27,C$26)+D$100*IF(D$27&gt;0,D$27,D$26)</f>
        <v>0.27027027027027029</v>
      </c>
      <c r="F109" s="43"/>
      <c r="G109" s="43"/>
      <c r="H109" s="43"/>
      <c r="I109" s="43"/>
      <c r="J109" s="43"/>
      <c r="K109" s="43"/>
      <c r="L109" s="43"/>
      <c r="M109" s="43"/>
      <c r="N109" s="43"/>
      <c r="O109" s="43"/>
      <c r="P109" s="43"/>
      <c r="Q109" s="43"/>
      <c r="R109" s="43"/>
      <c r="S109" s="43"/>
    </row>
    <row r="110" spans="1:19" x14ac:dyDescent="0.2">
      <c r="B110" s="76" t="str">
        <f>'Parameters List'!B110</f>
        <v>Antenna 2 PA Duty cycle</v>
      </c>
      <c r="C110" s="77">
        <f>C$100*IF(C$28&gt;0,C$28,C$26)+D$100*IF(D$28&gt;0,D$28,D$26)</f>
        <v>0.27027027027027029</v>
      </c>
      <c r="F110" s="43"/>
      <c r="G110" s="43"/>
      <c r="H110" s="43"/>
      <c r="I110" s="43"/>
      <c r="J110" s="43"/>
      <c r="K110" s="43"/>
      <c r="L110" s="43"/>
      <c r="M110" s="43"/>
      <c r="N110" s="43"/>
      <c r="O110" s="43"/>
      <c r="P110" s="43"/>
      <c r="Q110" s="43"/>
      <c r="R110" s="43"/>
      <c r="S110" s="43"/>
    </row>
    <row r="111" spans="1:19" x14ac:dyDescent="0.2">
      <c r="F111" s="43"/>
      <c r="G111" s="43"/>
      <c r="H111" s="43"/>
      <c r="I111" s="43"/>
      <c r="J111" s="43"/>
      <c r="K111" s="43"/>
      <c r="L111" s="43"/>
      <c r="M111" s="43"/>
      <c r="N111" s="43"/>
      <c r="O111" s="43"/>
      <c r="P111" s="43"/>
      <c r="Q111" s="43"/>
      <c r="R111" s="43"/>
      <c r="S111" s="43"/>
    </row>
    <row r="112" spans="1:19" x14ac:dyDescent="0.2">
      <c r="B112" s="78" t="str">
        <f>'Parameters List'!B112</f>
        <v>Tgt RCS (m^2):</v>
      </c>
      <c r="C112" s="74">
        <v>100</v>
      </c>
      <c r="D112" s="74">
        <v>0.1</v>
      </c>
      <c r="F112" s="43"/>
      <c r="G112" s="43"/>
      <c r="H112" s="43"/>
      <c r="I112" s="43"/>
      <c r="J112" s="43"/>
      <c r="K112" s="43"/>
      <c r="L112" s="43"/>
      <c r="M112" s="43"/>
      <c r="N112" s="43"/>
      <c r="O112" s="43"/>
      <c r="P112" s="43"/>
      <c r="Q112" s="43"/>
      <c r="R112" s="43"/>
      <c r="S112" s="43"/>
    </row>
    <row r="113" spans="2:19" x14ac:dyDescent="0.2">
      <c r="B113" s="78" t="str">
        <f>'Parameters List'!B113</f>
        <v>SNR @ Range (m):</v>
      </c>
      <c r="C113" s="74">
        <v>50000</v>
      </c>
      <c r="D113" s="74">
        <f>$C$163*D$36 + D$41</f>
        <v>584.59529310000005</v>
      </c>
    </row>
    <row r="114" spans="2:19" x14ac:dyDescent="0.2">
      <c r="B114" s="79" t="str">
        <f>'Parameters List'!B114</f>
        <v>Tgt @ADCin (dBm) - Ref. Rx</v>
      </c>
      <c r="C114" s="70">
        <f>$C$185+$C$186+$C$188+10*LOG10(C$112)+$C$189-$C$190-40*LOG10(C$113)+$C$171-C$84-C$85-$C$179*(C$80=1)</f>
        <v>-91.024365788155876</v>
      </c>
      <c r="D114" s="70">
        <f>$C$185+$C$186+$C$188+10*LOG10(D$112)+$C$189-$C$190-40*LOG10(D$113)+$C$171-D$84-D$85-$C$179*(D$80=1)</f>
        <v>-43.739778186332956</v>
      </c>
    </row>
    <row r="115" spans="2:19" x14ac:dyDescent="0.2">
      <c r="B115" s="95" t="str">
        <f>'Parameters List'!B115</f>
        <v>Tgt @ADCin (dBm) - 1st Rx - no calib.</v>
      </c>
      <c r="C115" s="70">
        <f>C$114-($C$188+$C$171-C$84-C$85-$C$179*(C$80=1))+$C$187+$C$170-C$82-C$83-$C$177*(C$80=1)</f>
        <v>-85.024365788155876</v>
      </c>
      <c r="D115" s="70">
        <f>D$114-($C$188+$C$171-D$84-D$85-$C$179*(D$80=1))+$C$187+$C$170-D$82-D$83-$C$177*(D$80=1)</f>
        <v>-37.739778186332956</v>
      </c>
      <c r="F115" s="43"/>
      <c r="G115" s="43"/>
      <c r="H115" s="43"/>
      <c r="I115" s="43"/>
      <c r="J115" s="43"/>
      <c r="K115" s="43"/>
      <c r="L115" s="43"/>
      <c r="M115" s="43"/>
      <c r="N115" s="43"/>
      <c r="O115" s="43"/>
      <c r="P115" s="43"/>
      <c r="Q115" s="43"/>
      <c r="R115" s="43"/>
      <c r="S115" s="43"/>
    </row>
    <row r="116" spans="2:19" x14ac:dyDescent="0.2">
      <c r="B116" s="95" t="str">
        <f>'Parameters List'!B116</f>
        <v>Tgt @ADCout (dBm) - 1st Rx</v>
      </c>
      <c r="C116" s="70">
        <f>C$114+20*LOG10($C$156/$C$157)-$C$177*(C$80=1)</f>
        <v>-71.024365788155876</v>
      </c>
      <c r="D116" s="70">
        <f>D$114+20*LOG10($C$156/$C$157)-$C$177*(D$80=1)</f>
        <v>-23.739778186332956</v>
      </c>
      <c r="F116" s="43"/>
      <c r="G116" s="43"/>
      <c r="H116" s="43"/>
      <c r="I116" s="43"/>
      <c r="J116" s="43"/>
      <c r="K116" s="43"/>
      <c r="L116" s="43"/>
      <c r="M116" s="43"/>
      <c r="N116" s="43"/>
      <c r="O116" s="43"/>
      <c r="P116" s="43"/>
      <c r="Q116" s="43"/>
      <c r="R116" s="43"/>
      <c r="S116" s="43"/>
    </row>
    <row r="117" spans="2:19" x14ac:dyDescent="0.2">
      <c r="B117" s="95" t="str">
        <f>'Parameters List'!B117</f>
        <v>Tgt @ADCout (dBm)</v>
      </c>
      <c r="C117" s="70">
        <f>20*LOG10(10^(C$114/20)+($C$155-1)*10^(C$116/20))+ (20*LOG10(C$34) - 2 * C$35) * (C$34&gt;1)</f>
        <v>-52.748088740481542</v>
      </c>
      <c r="D117" s="70">
        <f>20*LOG10(10^(D$114/20)+($C$155-1)*10^(D$116/20))+ (20*LOG10(D$34) - 2 * D$35) * (D$34&gt;1)</f>
        <v>-11.484101051938245</v>
      </c>
      <c r="G117" s="43"/>
      <c r="H117" s="43"/>
      <c r="I117" s="43"/>
      <c r="J117" s="43"/>
      <c r="K117" s="43"/>
      <c r="L117" s="43"/>
      <c r="M117" s="43"/>
      <c r="N117" s="43"/>
      <c r="O117" s="43"/>
      <c r="P117" s="43"/>
      <c r="Q117" s="43"/>
      <c r="R117" s="43"/>
      <c r="S117" s="43"/>
    </row>
    <row r="118" spans="2:19" x14ac:dyDescent="0.2">
      <c r="B118" s="79" t="str">
        <f>'Parameters List'!B118</f>
        <v>SNR (dB)</v>
      </c>
      <c r="C118" s="70">
        <f>C117-C$94-C$97+C$95</f>
        <v>26.898129604416106</v>
      </c>
      <c r="D118" s="70">
        <f>D117-D$94-D$97+D$95</f>
        <v>55.663821754719052</v>
      </c>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tr">
        <f>'Parameters List'!B120</f>
        <v>Probability of Detection @ SNR (dB):</v>
      </c>
      <c r="C120" s="64">
        <v>15</v>
      </c>
      <c r="D120" s="64">
        <v>18</v>
      </c>
    </row>
    <row r="121" spans="2:19" x14ac:dyDescent="0.2">
      <c r="B121" s="71" t="str">
        <f>'Parameters List'!B121</f>
        <v>SWERLING (0, I, II, III, IV)</v>
      </c>
      <c r="C121" s="64">
        <v>1</v>
      </c>
      <c r="D121" s="64">
        <v>0</v>
      </c>
    </row>
    <row r="122" spans="2:19" x14ac:dyDescent="0.2">
      <c r="B122" s="79" t="str">
        <f>'Parameters List'!B122</f>
        <v>Probability of Detection</v>
      </c>
      <c r="C122" s="70">
        <f>pf_PD_PFA_CFAR("pd", C$74, C$120, C$121, C$68*2, 1)</f>
        <v>0.6181820390905115</v>
      </c>
      <c r="D122" s="70">
        <f>pf_PD_PFA_CFAR("pd", D$74, D$120, D$121, D$68*2, 1)</f>
        <v>0.99847320708078879</v>
      </c>
    </row>
    <row r="123" spans="2:19" x14ac:dyDescent="0.2">
      <c r="B123" s="71" t="str">
        <f>'Parameters List'!B123</f>
        <v>Pd for at least N of M detections (N,M)</v>
      </c>
      <c r="C123" s="105" t="s">
        <v>386</v>
      </c>
      <c r="D123" s="105" t="s">
        <v>386</v>
      </c>
    </row>
    <row r="124" spans="2:19" x14ac:dyDescent="0.2">
      <c r="B124" s="79" t="str">
        <f>'Parameters List'!B124</f>
        <v>Probability of Detection</v>
      </c>
      <c r="C124" s="70">
        <f>pf_PD_N_OUTOF_M(C$122, LEFT(C$123,FIND(",",C$123,1) - 1), MID(C$123,FIND(",",C$123,1)+1,100))</f>
        <v>0.92619322925372272</v>
      </c>
      <c r="D124" s="70">
        <f>pf_PD_N_OUTOF_M(D$122, LEFT(D$123,FIND(",",D$123,1) - 1), MID(D$123,FIND(",",D$123,1)+1,100))</f>
        <v>0.99999999997286315</v>
      </c>
    </row>
    <row r="125" spans="2:19" x14ac:dyDescent="0.2">
      <c r="B125" s="75"/>
    </row>
    <row r="126" spans="2:19" x14ac:dyDescent="0.2">
      <c r="B126" s="71" t="str">
        <f>'Parameters List'!B126</f>
        <v>Target Revisit Time (sec)</v>
      </c>
      <c r="C126" s="64">
        <v>0.05</v>
      </c>
      <c r="D126" s="64">
        <v>0.05</v>
      </c>
    </row>
    <row r="127" spans="2:19" x14ac:dyDescent="0.2">
      <c r="B127" s="68" t="str">
        <f>'Parameters List'!B127</f>
        <v>Acceleration Folding (m/s2)</v>
      </c>
      <c r="C127" s="67">
        <f>$C$107/C$126</f>
        <v>17807.689812889814</v>
      </c>
      <c r="D127" s="67">
        <f>$C$107/D$126</f>
        <v>17807.689812889814</v>
      </c>
    </row>
    <row r="128" spans="2:19" x14ac:dyDescent="0.2">
      <c r="B128" s="80" t="str">
        <f>'Parameters List'!B128</f>
        <v>Maximum Allowed Acceleration (m/s2)</v>
      </c>
      <c r="C128" s="70">
        <f>($C$107/4)/C$126</f>
        <v>4451.9224532224534</v>
      </c>
      <c r="D128" s="70">
        <f>($C$107/4)/D$126</f>
        <v>4451.9224532224534</v>
      </c>
    </row>
    <row r="129" spans="2:19" x14ac:dyDescent="0.2">
      <c r="B129" s="80" t="str">
        <f>'Parameters List'!B129</f>
        <v>Acceleration Ambiguity (m/s2)</v>
      </c>
      <c r="C129" s="70">
        <f>C$127-C$128</f>
        <v>13355.767359667359</v>
      </c>
      <c r="D129" s="70">
        <f>D$127-D$128</f>
        <v>13355.767359667359</v>
      </c>
    </row>
    <row r="130" spans="2:19" x14ac:dyDescent="0.2">
      <c r="B130" s="75"/>
    </row>
    <row r="131" spans="2:19" x14ac:dyDescent="0.2">
      <c r="B131" s="78" t="str">
        <f>'Parameters List'!B131</f>
        <v>Tgt RCS (m^2):</v>
      </c>
      <c r="C131" s="74">
        <v>0.01</v>
      </c>
      <c r="D131" s="74">
        <v>0.1</v>
      </c>
      <c r="F131" s="43"/>
      <c r="G131" s="43"/>
      <c r="H131" s="43"/>
      <c r="I131" s="43"/>
      <c r="J131" s="43"/>
      <c r="K131" s="43"/>
      <c r="L131" s="43"/>
      <c r="M131" s="43"/>
      <c r="N131" s="43"/>
      <c r="O131" s="43"/>
      <c r="P131" s="43"/>
      <c r="Q131" s="43"/>
      <c r="R131" s="43"/>
      <c r="S131" s="43"/>
    </row>
    <row r="132" spans="2:19" x14ac:dyDescent="0.2">
      <c r="B132" s="78" t="str">
        <f>'Parameters List'!B132</f>
        <v>SNR @ Range (m):</v>
      </c>
      <c r="C132" s="74">
        <f>$C$163*C$36 + C$41</f>
        <v>1948.650977</v>
      </c>
      <c r="D132" s="74">
        <f>$C$163*D$36 + D$41</f>
        <v>584.59529310000005</v>
      </c>
    </row>
    <row r="133" spans="2:19" x14ac:dyDescent="0.2">
      <c r="B133" s="79" t="str">
        <f>'Parameters List'!B133</f>
        <v>Tgt @ADCin (dBm) - Ref. Rx</v>
      </c>
      <c r="C133" s="70">
        <f>$C$185+$C$186+$C$188+10*LOG10(C$131)+$C$189-$C$190-40*LOG10(C$132)+$C$171-C$84-C$85-$C$179*(C$80=1)</f>
        <v>-74.654927997546451</v>
      </c>
      <c r="D133" s="70">
        <f>$C$185+$C$186+$C$188+10*LOG10(D$131)+$C$189-$C$190-40*LOG10(D$132)+$C$171-D$84-D$85-$C$179*(D$80=1)</f>
        <v>-43.739778186332956</v>
      </c>
    </row>
    <row r="134" spans="2:19" x14ac:dyDescent="0.2">
      <c r="B134" s="78" t="str">
        <f>'Parameters List'!B134</f>
        <v>Interferer @ Range (m)</v>
      </c>
      <c r="C134" s="74">
        <v>10000</v>
      </c>
      <c r="D134" s="74">
        <v>10000</v>
      </c>
    </row>
    <row r="135" spans="2:19" x14ac:dyDescent="0.2">
      <c r="B135" s="79" t="str">
        <f>'Parameters List'!B135</f>
        <v>Interferer @ ADCin (dBm) - Ref. Rx</v>
      </c>
      <c r="C135" s="70">
        <f>$C$185+$C$186+$C$188-$C$166+$C$189-$C$190/3*2-20*LOG10(C$134)+$C$171-C$84-C$85-$C$179*(C$80=1)</f>
        <v>7.9265330255058331</v>
      </c>
      <c r="D135" s="70">
        <f>$C$185+$C$186+$C$188-$C$166+$C$189-$C$190/3*2-20*LOG10(D$134)+$C$171-D$84-D$85-$C$179*(D$80=1)</f>
        <v>7.9265330255058331</v>
      </c>
    </row>
    <row r="136" spans="2:19" x14ac:dyDescent="0.2">
      <c r="B136" s="79" t="str">
        <f>'Parameters List'!B136</f>
        <v>Interferer @ ADCin (dBm) - 1st Rx</v>
      </c>
      <c r="C136" s="70">
        <f>C$135+20*LOG10($C$156/$C$157)-$C$177*(C$80=1)</f>
        <v>27.926533025505833</v>
      </c>
      <c r="D136" s="70">
        <f>$C$185+$C$186+$C$187-$C$166+$C$189-$C$190/3*2-20*LOG10(D$134)+$C$170-D$84-D$85-$C$177*(D$80=1)</f>
        <v>23.926533025505833</v>
      </c>
    </row>
    <row r="137" spans="2:19" x14ac:dyDescent="0.2">
      <c r="B137" s="81" t="str">
        <f>'Parameters List'!B137</f>
        <v>Ref. Rx Phase Noise @ADCin (dBm/bin)</v>
      </c>
      <c r="C137" s="67">
        <f>C$135+$C$165+10*LOG10(1/(C$30*10^-3))+10*LOG10($C$175*10^6/($C$106*10^3))</f>
        <v>-71.155866627612667</v>
      </c>
      <c r="D137" s="67">
        <f>D$135+$C$165+10*LOG10(1/(D$30*10^-3))+10*LOG10($C$175*10^6/($C$106*10^3))</f>
        <v>-60.875579391610231</v>
      </c>
    </row>
    <row r="138" spans="2:19" x14ac:dyDescent="0.2">
      <c r="B138" s="81" t="str">
        <f>'Parameters List'!B138</f>
        <v>Ref. Rx Phase Noise @ADCout (dBm/bin)</v>
      </c>
      <c r="C138" s="67">
        <f>C$137+C$95</f>
        <v>-16.942833624866552</v>
      </c>
      <c r="D138" s="67">
        <f>D$137+D$95</f>
        <v>-22.171621077669926</v>
      </c>
    </row>
    <row r="139" spans="2:19" x14ac:dyDescent="0.2">
      <c r="B139" s="81" t="str">
        <f>'Parameters List'!B139</f>
        <v>Ref. Rx Total Noise @ADCout (dBm/bin)</v>
      </c>
      <c r="C139" s="67">
        <f>10*LOG10(10 ^ (C$138 / 10) + 10 ^ (C$93 / 10))</f>
        <v>-16.937970846191558</v>
      </c>
      <c r="D139" s="67">
        <f>10*LOG10(10 ^ (D$138 / 10) + 10 ^ (D$93 / 10))</f>
        <v>-22.155432945098731</v>
      </c>
    </row>
    <row r="140" spans="2:19" x14ac:dyDescent="0.2">
      <c r="B140" s="81" t="str">
        <f>'Parameters List'!B140</f>
        <v>1st Rx Phase Noise @ADCout (dBm/bin)</v>
      </c>
      <c r="C140" s="67">
        <f>C$136+$C$165+10*LOG10(1/(C$30*10^-3))+10*LOG10($C$175*10^6/($C$106*10^3))+C$95</f>
        <v>3.0571663751334484</v>
      </c>
      <c r="D140" s="67">
        <f>D$136+$C$165+10*LOG10(1/(D$30*10^-3))+10*LOG10($C$175*10^6/($C$106*10^3))+D$95</f>
        <v>-6.1716210776699256</v>
      </c>
    </row>
    <row r="141" spans="2:19" x14ac:dyDescent="0.2">
      <c r="B141" s="81" t="str">
        <f>'Parameters List'!B141</f>
        <v>1st Rx Total Noise @ADCout (dBm/bin)</v>
      </c>
      <c r="C141" s="67">
        <f>10*LOG10(10 ^ (C$140 / 10) + 10 ^ (C$92 / 10))</f>
        <v>3.057678177246681</v>
      </c>
      <c r="D141" s="67">
        <f>10*LOG10(10 ^ (D$140 / 10) + 10 ^ (D$92 / 10))</f>
        <v>-6.1673376422750081</v>
      </c>
    </row>
    <row r="142" spans="2:19" x14ac:dyDescent="0.2">
      <c r="B142" s="81" t="str">
        <f>'Parameters List'!B142</f>
        <v>Total Noise Power @ADCout (dBm/bin)</v>
      </c>
      <c r="C142" s="67">
        <f>10*LOG10((($C$155-1) * 10^(C$140/20) + 10^(C$138/20))^2*((C$34 - 10^(C$35/10))*(C$34&gt;1) + 1) ^ 2 + 10^(C$94/10))</f>
        <v>21.333505765730546</v>
      </c>
      <c r="D142" s="67">
        <f>10*LOG10((($C$155-1) * 10^(D$140/20) + 10^(D$138/20))^2*((D$34 - 10^(D$35/10))*(D$34&gt;1) + 1) ^ 2 + 10^(D$94/10))</f>
        <v>6.2081054464318708</v>
      </c>
    </row>
    <row r="143" spans="2:19" x14ac:dyDescent="0.2">
      <c r="B143" s="79" t="str">
        <f>'Parameters List'!B143</f>
        <v>SNR (dB)</v>
      </c>
      <c r="C143" s="70">
        <f>IF(C$134&lt;=0, C$133+C$96-C$94, C$133+C$96 -C$142)-C$97</f>
        <v>-5.1624352990133975</v>
      </c>
      <c r="D143" s="70">
        <f>IF(D$134&lt;=0, D$133+D$96-D$94, D$133+D$96 -D$142)-D$97</f>
        <v>19.348919423338987</v>
      </c>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tr">
        <f>'Parameters List'!B145</f>
        <v>GUI SPECTRUM PRESENTATION (w/o interferer)</v>
      </c>
      <c r="C145" s="140"/>
      <c r="D145" s="141"/>
      <c r="F145" s="43"/>
      <c r="G145" s="43"/>
      <c r="H145" s="43"/>
      <c r="I145" s="43"/>
      <c r="J145" s="43"/>
      <c r="K145" s="43"/>
      <c r="L145" s="43"/>
      <c r="M145" s="43"/>
      <c r="N145" s="43"/>
      <c r="O145" s="43"/>
      <c r="P145" s="43"/>
      <c r="Q145" s="43"/>
      <c r="R145" s="43"/>
      <c r="S145" s="43"/>
    </row>
    <row r="146" spans="2:19" x14ac:dyDescent="0.2">
      <c r="B146" s="82" t="str">
        <f>'Parameters List'!B146</f>
        <v>Ref Rx Noise @ADCout (dBm/bin)</v>
      </c>
      <c r="C146" s="70">
        <f>C$93-C$95</f>
        <v>-100.66243308946649</v>
      </c>
      <c r="D146" s="83">
        <f>D$93-D$95</f>
        <v>-85.153358400660679</v>
      </c>
      <c r="F146" s="43"/>
      <c r="G146" s="43"/>
      <c r="H146" s="43"/>
      <c r="I146" s="43"/>
      <c r="J146" s="43"/>
      <c r="K146" s="43"/>
      <c r="L146" s="43"/>
      <c r="M146" s="43"/>
      <c r="N146" s="43"/>
      <c r="O146" s="43"/>
      <c r="P146" s="43"/>
      <c r="Q146" s="43"/>
      <c r="R146" s="43"/>
      <c r="S146" s="43"/>
    </row>
    <row r="147" spans="2:19" x14ac:dyDescent="0.2">
      <c r="B147" s="82" t="str">
        <f>'Parameters List'!B147</f>
        <v>1st Rx Noise @ADCout (dBm/bin)</v>
      </c>
      <c r="C147" s="70">
        <f>C$92-C$95</f>
        <v>-90.442433089466491</v>
      </c>
      <c r="D147" s="83">
        <f>D$92-D$95</f>
        <v>-74.93335840066068</v>
      </c>
    </row>
    <row r="148" spans="2:19" ht="15" thickBot="1" x14ac:dyDescent="0.25">
      <c r="B148" s="84" t="str">
        <f>'Parameters List'!B148</f>
        <v>Beam Total Noise @ADCout (dBm/bin)</v>
      </c>
      <c r="C148" s="85">
        <f>C$94-C$95 - (10*LOG10(C$34) - C$35) * (C$34&gt;1)</f>
        <v>-84.319829887694297</v>
      </c>
      <c r="D148" s="86">
        <f>D$94-D$95 - (10*LOG10(D$34) - D$35) * (D$34&gt;1)</f>
        <v>-68.810755198888486</v>
      </c>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tr">
        <f>'Parameters List'!B150</f>
        <v>GUI SPECTRUM PRESENTATION (with interferer)</v>
      </c>
      <c r="C150" s="140"/>
      <c r="D150" s="141"/>
      <c r="F150" s="43"/>
      <c r="G150" s="43"/>
      <c r="H150" s="43"/>
      <c r="I150" s="43"/>
      <c r="J150" s="43"/>
      <c r="K150" s="43"/>
      <c r="L150" s="43"/>
      <c r="M150" s="43"/>
      <c r="N150" s="43"/>
      <c r="O150" s="43"/>
      <c r="P150" s="43"/>
      <c r="Q150" s="43"/>
      <c r="R150" s="43"/>
      <c r="S150" s="43"/>
    </row>
    <row r="151" spans="2:19" x14ac:dyDescent="0.2">
      <c r="B151" s="82" t="str">
        <f>'Parameters List'!B151</f>
        <v>Ref Rx Noise @ADCout (dBm/bin)</v>
      </c>
      <c r="C151" s="70">
        <f>C$139-C$95</f>
        <v>-71.151003848937677</v>
      </c>
      <c r="D151" s="83">
        <f>D$139-D$95</f>
        <v>-60.859391259039036</v>
      </c>
      <c r="F151" s="43"/>
      <c r="G151" s="43"/>
      <c r="H151" s="43"/>
      <c r="I151" s="43"/>
      <c r="J151" s="43"/>
      <c r="K151" s="43"/>
      <c r="L151" s="43"/>
      <c r="M151" s="43"/>
      <c r="N151" s="43"/>
      <c r="O151" s="43"/>
      <c r="P151" s="43"/>
      <c r="Q151" s="43"/>
      <c r="R151" s="43"/>
      <c r="S151" s="43"/>
    </row>
    <row r="152" spans="2:19" x14ac:dyDescent="0.2">
      <c r="B152" s="82" t="str">
        <f>'Parameters List'!B152</f>
        <v>1st Rx Noise @ADCout (dBm/bin)</v>
      </c>
      <c r="C152" s="70">
        <f>C$141-C$95</f>
        <v>-51.155354825499437</v>
      </c>
      <c r="D152" s="83">
        <f>D$141-D$95</f>
        <v>-44.871295956215313</v>
      </c>
    </row>
    <row r="153" spans="2:19" ht="15" thickBot="1" x14ac:dyDescent="0.25">
      <c r="B153" s="84" t="str">
        <f>'Parameters List'!B153</f>
        <v>Beam Total Noise @ADCout (dBm/bin)</v>
      </c>
      <c r="C153" s="85">
        <f>10*LOG10(10 ^ ((C$137 + C$96 - (20*LOG10(C$34) - 2*C$35) * (C$34&gt;1))/ 10) + 10 ^ ((C$94 - (10*LOG10(C$34) - C$35) * (C$34&gt;1)) / 10)) - C$95</f>
        <v>-38.900064808267352</v>
      </c>
      <c r="D153" s="86">
        <f>10*LOG10(10 ^ ((D$137 + D$96 - (20*LOG10(D$34) - 2*D$35) * (D$34&gt;1))/ 10) + 10 ^ ((D$94 - (10*LOG10(D$34) - D$35) * (D$34&gt;1)) / 10)) - D$95</f>
        <v>-28.619486654633697</v>
      </c>
    </row>
    <row r="154" spans="2:19" x14ac:dyDescent="0.2">
      <c r="B154" s="75"/>
      <c r="F154" s="43"/>
      <c r="G154" s="43"/>
      <c r="H154" s="43"/>
      <c r="I154" s="43"/>
      <c r="J154" s="43"/>
      <c r="K154" s="43"/>
      <c r="L154" s="43"/>
      <c r="M154" s="43"/>
      <c r="N154" s="43"/>
      <c r="O154" s="43"/>
      <c r="P154" s="43"/>
      <c r="Q154" s="43"/>
      <c r="R154" s="43"/>
      <c r="S154" s="43"/>
    </row>
    <row r="155" spans="2:19" x14ac:dyDescent="0.2">
      <c r="B155" s="32" t="str">
        <f>'General System Parameters'!B9</f>
        <v># Rcvrs</v>
      </c>
      <c r="C155" s="33">
        <f>'General System Parameters'!C9</f>
        <v>5</v>
      </c>
      <c r="F155" s="43"/>
      <c r="G155" s="43"/>
      <c r="H155" s="43"/>
      <c r="I155" s="43"/>
      <c r="J155" s="43"/>
      <c r="K155" s="43"/>
      <c r="L155" s="43"/>
      <c r="M155" s="43"/>
      <c r="N155" s="43"/>
      <c r="O155" s="43"/>
      <c r="P155" s="43"/>
      <c r="Q155" s="43"/>
      <c r="R155" s="43"/>
      <c r="S155" s="43"/>
    </row>
    <row r="156" spans="2:19" x14ac:dyDescent="0.2">
      <c r="B156" s="32" t="str">
        <f>'General System Parameters'!B10</f>
        <v># Patches in 1st Rx</v>
      </c>
      <c r="C156" s="33">
        <f>'General System Parameters'!C10</f>
        <v>10</v>
      </c>
      <c r="F156" s="43"/>
      <c r="G156" s="43"/>
      <c r="H156" s="43"/>
      <c r="I156" s="43"/>
      <c r="J156" s="43"/>
      <c r="K156" s="43"/>
      <c r="L156" s="43"/>
      <c r="M156" s="43"/>
      <c r="N156" s="43"/>
      <c r="O156" s="43"/>
      <c r="P156" s="43"/>
      <c r="Q156" s="43"/>
      <c r="R156" s="43"/>
      <c r="S156" s="43"/>
    </row>
    <row r="157" spans="2:19" x14ac:dyDescent="0.2">
      <c r="B157" s="32" t="str">
        <f>'General System Parameters'!B11</f>
        <v># Patches in Ref (Guard) Rx</v>
      </c>
      <c r="C157" s="33">
        <f>'General System Parameters'!C11</f>
        <v>1</v>
      </c>
      <c r="F157" s="43"/>
      <c r="G157" s="43"/>
      <c r="H157" s="43"/>
      <c r="I157" s="43"/>
      <c r="J157" s="43"/>
      <c r="K157" s="43"/>
      <c r="L157" s="43"/>
      <c r="M157" s="43"/>
      <c r="N157" s="43"/>
      <c r="O157" s="43"/>
      <c r="P157" s="43"/>
      <c r="Q157" s="43"/>
      <c r="R157" s="43"/>
      <c r="S157" s="43"/>
    </row>
    <row r="158" spans="2:19" x14ac:dyDescent="0.2">
      <c r="B158" s="32" t="str">
        <f>'General System Parameters'!B12</f>
        <v>Typical System Gain (dB) - 1st Rx</v>
      </c>
      <c r="C158" s="33">
        <f>'General System Parameters'!C12</f>
        <v>59.76</v>
      </c>
      <c r="F158" s="43"/>
      <c r="G158" s="43"/>
      <c r="H158" s="43"/>
      <c r="I158" s="43"/>
      <c r="J158" s="43"/>
      <c r="K158" s="43"/>
      <c r="L158" s="43"/>
      <c r="M158" s="43"/>
      <c r="N158" s="43"/>
      <c r="O158" s="43"/>
      <c r="P158" s="43"/>
      <c r="Q158" s="43"/>
      <c r="R158" s="43"/>
      <c r="S158" s="43"/>
    </row>
    <row r="159" spans="2:19" x14ac:dyDescent="0.2">
      <c r="B159" s="32" t="str">
        <f>'General System Parameters'!B13</f>
        <v>Typical System Gain (dB) - Ref (Guard) Rx</v>
      </c>
      <c r="C159" s="33">
        <f>'General System Parameters'!C13</f>
        <v>54.1</v>
      </c>
      <c r="F159" s="43"/>
      <c r="G159" s="43"/>
      <c r="H159" s="43"/>
      <c r="I159" s="43"/>
      <c r="J159" s="43"/>
      <c r="K159" s="43"/>
      <c r="L159" s="43"/>
      <c r="M159" s="43"/>
      <c r="N159" s="43"/>
      <c r="O159" s="43"/>
      <c r="P159" s="43"/>
      <c r="Q159" s="43"/>
      <c r="R159" s="43"/>
      <c r="S159" s="43"/>
    </row>
    <row r="160" spans="2:19" x14ac:dyDescent="0.2">
      <c r="B160" s="32" t="str">
        <f>'General System Parameters'!B14</f>
        <v>Typical 1st Rx Calibration (dB)</v>
      </c>
      <c r="C160" s="33">
        <f>'General System Parameters'!C14</f>
        <v>4.3400000000000105</v>
      </c>
      <c r="F160" s="43"/>
      <c r="G160" s="43"/>
      <c r="H160" s="43"/>
      <c r="I160" s="43"/>
      <c r="J160" s="43"/>
      <c r="K160" s="43"/>
      <c r="L160" s="43"/>
      <c r="M160" s="43"/>
      <c r="N160" s="43"/>
      <c r="O160" s="43"/>
      <c r="P160" s="43"/>
      <c r="Q160" s="43"/>
      <c r="R160" s="43"/>
      <c r="S160" s="43"/>
    </row>
    <row r="161" spans="2:19" x14ac:dyDescent="0.2">
      <c r="B161" s="32" t="str">
        <f>'General System Parameters'!B15</f>
        <v>System Propagation Delay (us)</v>
      </c>
      <c r="C161" s="33">
        <f>'General System Parameters'!C15</f>
        <v>0.15</v>
      </c>
      <c r="F161" s="43"/>
      <c r="G161" s="43"/>
      <c r="H161" s="43"/>
      <c r="I161" s="43"/>
      <c r="J161" s="43"/>
      <c r="K161" s="43"/>
      <c r="L161" s="43"/>
      <c r="M161" s="43"/>
      <c r="N161" s="43"/>
      <c r="O161" s="43"/>
      <c r="P161" s="43"/>
      <c r="Q161" s="43"/>
      <c r="R161" s="43"/>
      <c r="S161" s="43"/>
    </row>
    <row r="162" spans="2:19" x14ac:dyDescent="0.2">
      <c r="B162" s="32" t="str">
        <f>'General System Parameters'!B16</f>
        <v>c (m/s)</v>
      </c>
      <c r="C162" s="33">
        <f>'General System Parameters'!C16</f>
        <v>299792458</v>
      </c>
      <c r="F162" s="43"/>
      <c r="G162" s="43"/>
      <c r="H162" s="43"/>
      <c r="I162" s="43"/>
      <c r="J162" s="43"/>
      <c r="K162" s="43"/>
      <c r="L162" s="43"/>
      <c r="M162" s="43"/>
      <c r="N162" s="43"/>
      <c r="O162" s="43"/>
      <c r="P162" s="43"/>
      <c r="Q162" s="43"/>
      <c r="R162" s="43"/>
      <c r="S162" s="43"/>
    </row>
    <row r="163" spans="2:19" x14ac:dyDescent="0.2">
      <c r="B163" s="32" t="str">
        <f>'General System Parameters'!B17</f>
        <v>c/2 (m/μs)</v>
      </c>
      <c r="C163" s="33">
        <f>'General System Parameters'!C17</f>
        <v>149.89622900000001</v>
      </c>
      <c r="F163" s="43"/>
      <c r="G163" s="43"/>
      <c r="H163" s="43"/>
      <c r="I163" s="43"/>
      <c r="J163" s="43"/>
      <c r="K163" s="43"/>
      <c r="L163" s="43"/>
      <c r="M163" s="43"/>
      <c r="N163" s="43"/>
      <c r="O163" s="43"/>
      <c r="P163" s="43"/>
      <c r="Q163" s="43"/>
      <c r="R163" s="43"/>
      <c r="S163" s="43"/>
    </row>
    <row r="164" spans="2:19" x14ac:dyDescent="0.2">
      <c r="B164" s="30" t="str">
        <f>'General System Parameters'!B18</f>
        <v>Freq (GHz)</v>
      </c>
      <c r="C164" s="31">
        <f>'General System Parameters'!C18</f>
        <v>3.5</v>
      </c>
      <c r="F164" s="43"/>
      <c r="G164" s="43"/>
      <c r="H164" s="43"/>
      <c r="I164" s="43"/>
      <c r="J164" s="43"/>
      <c r="K164" s="43"/>
      <c r="L164" s="43"/>
      <c r="M164" s="43"/>
      <c r="N164" s="43"/>
      <c r="O164" s="43"/>
      <c r="P164" s="43"/>
      <c r="Q164" s="43"/>
      <c r="R164" s="43"/>
      <c r="S164" s="43"/>
    </row>
    <row r="165" spans="2:19" x14ac:dyDescent="0.2">
      <c r="B165" s="30" t="str">
        <f>'General System Parameters'!B19</f>
        <v>Phase Noise Level (dBc/Hz)</v>
      </c>
      <c r="C165" s="31">
        <f>'General System Parameters'!C19</f>
        <v>-125</v>
      </c>
      <c r="F165" s="43"/>
      <c r="G165" s="43"/>
      <c r="H165" s="43"/>
      <c r="I165" s="43"/>
      <c r="J165" s="43"/>
      <c r="K165" s="43"/>
      <c r="L165" s="43"/>
      <c r="M165" s="43"/>
      <c r="N165" s="43"/>
      <c r="O165" s="43"/>
      <c r="P165" s="43"/>
      <c r="Q165" s="43"/>
      <c r="R165" s="43"/>
      <c r="S165" s="43"/>
    </row>
    <row r="166" spans="2:19" x14ac:dyDescent="0.2">
      <c r="B166" s="30" t="str">
        <f>'General System Parameters'!B20</f>
        <v>Polarization Loss (dB)</v>
      </c>
      <c r="C166" s="31">
        <f>'General System Parameters'!C20</f>
        <v>0</v>
      </c>
      <c r="F166" s="43"/>
      <c r="G166" s="43"/>
      <c r="H166" s="43"/>
      <c r="I166" s="43"/>
      <c r="J166" s="43"/>
      <c r="K166" s="43"/>
      <c r="L166" s="43"/>
      <c r="M166" s="43"/>
      <c r="N166" s="43"/>
      <c r="O166" s="43"/>
      <c r="P166" s="43"/>
      <c r="Q166" s="43"/>
      <c r="R166" s="43"/>
      <c r="S166" s="43"/>
    </row>
    <row r="167" spans="2:19" x14ac:dyDescent="0.2">
      <c r="B167" s="34" t="str">
        <f>'General System Parameters'!B21</f>
        <v>λ (m)</v>
      </c>
      <c r="C167" s="35">
        <f>'General System Parameters'!C21</f>
        <v>8.5654988000000001E-2</v>
      </c>
      <c r="F167" s="43"/>
      <c r="G167" s="43"/>
      <c r="H167" s="43"/>
      <c r="I167" s="43"/>
      <c r="J167" s="43"/>
      <c r="K167" s="43"/>
      <c r="L167" s="43"/>
      <c r="M167" s="43"/>
      <c r="N167" s="43"/>
      <c r="O167" s="43"/>
      <c r="P167" s="43"/>
      <c r="Q167" s="43"/>
      <c r="R167" s="43"/>
      <c r="S167" s="43"/>
    </row>
    <row r="168" spans="2:19" x14ac:dyDescent="0.2">
      <c r="B168" s="34" t="str">
        <f>'General System Parameters'!B22</f>
        <v>Doppler factor (Hz/(m/sec))</v>
      </c>
      <c r="C168" s="35">
        <f>'General System Parameters'!C22</f>
        <v>23.349486663870643</v>
      </c>
      <c r="F168" s="43"/>
      <c r="G168" s="43"/>
      <c r="H168" s="43"/>
      <c r="I168" s="43"/>
      <c r="J168" s="43"/>
      <c r="K168" s="43"/>
      <c r="L168" s="43"/>
      <c r="M168" s="43"/>
      <c r="N168" s="43"/>
      <c r="O168" s="43"/>
      <c r="P168" s="43"/>
      <c r="Q168" s="43"/>
      <c r="R168" s="43"/>
      <c r="S168" s="43"/>
    </row>
    <row r="169" spans="2:19" x14ac:dyDescent="0.2">
      <c r="B169" s="36" t="str">
        <f>'General System Parameters'!B23</f>
        <v>ALC</v>
      </c>
      <c r="C169" s="31">
        <f>'General System Parameters'!C23</f>
        <v>0</v>
      </c>
      <c r="F169" s="43"/>
      <c r="G169" s="43"/>
      <c r="H169" s="43"/>
      <c r="I169" s="43"/>
      <c r="J169" s="43"/>
      <c r="K169" s="43"/>
      <c r="L169" s="43"/>
      <c r="M169" s="43"/>
      <c r="N169" s="43"/>
      <c r="O169" s="43"/>
      <c r="P169" s="43"/>
      <c r="Q169" s="43"/>
      <c r="R169" s="43"/>
      <c r="S169" s="43"/>
    </row>
    <row r="170" spans="2:19" x14ac:dyDescent="0.2">
      <c r="B170" s="36" t="str">
        <f>'General System Parameters'!B24</f>
        <v>Actual System Gain (dB) - 1st Rx</v>
      </c>
      <c r="C170" s="31">
        <f>'General System Parameters'!C24</f>
        <v>60</v>
      </c>
      <c r="F170" s="43"/>
      <c r="G170" s="43"/>
      <c r="H170" s="43"/>
      <c r="I170" s="43"/>
      <c r="J170" s="43"/>
      <c r="K170" s="43"/>
      <c r="L170" s="43"/>
      <c r="M170" s="43"/>
      <c r="N170" s="43"/>
      <c r="O170" s="43"/>
      <c r="P170" s="43"/>
      <c r="Q170" s="43"/>
      <c r="R170" s="43"/>
      <c r="S170" s="43"/>
    </row>
    <row r="171" spans="2:19" x14ac:dyDescent="0.2">
      <c r="B171" s="36" t="str">
        <f>'General System Parameters'!B25</f>
        <v>Actual System Gain (dB) - Ref Rx</v>
      </c>
      <c r="C171" s="31">
        <f>'General System Parameters'!C25</f>
        <v>54</v>
      </c>
      <c r="F171" s="43"/>
      <c r="G171" s="43"/>
      <c r="H171" s="43"/>
      <c r="I171" s="43"/>
      <c r="J171" s="43"/>
      <c r="K171" s="43"/>
      <c r="L171" s="43"/>
      <c r="M171" s="43"/>
      <c r="N171" s="43"/>
      <c r="O171" s="43"/>
      <c r="P171" s="43"/>
      <c r="Q171" s="43"/>
      <c r="R171" s="43"/>
      <c r="S171" s="43"/>
    </row>
    <row r="172" spans="2:19" x14ac:dyDescent="0.2">
      <c r="B172" s="34" t="str">
        <f>'General System Parameters'!B26</f>
        <v>Actual 1st Rx Calibration (dB)</v>
      </c>
      <c r="C172" s="35">
        <f>'General System Parameters'!C26</f>
        <v>4</v>
      </c>
      <c r="F172" s="43"/>
      <c r="G172" s="43"/>
      <c r="H172" s="43"/>
      <c r="I172" s="43"/>
      <c r="J172" s="43"/>
      <c r="K172" s="43"/>
      <c r="L172" s="43"/>
      <c r="M172" s="43"/>
      <c r="N172" s="43"/>
      <c r="O172" s="43"/>
      <c r="P172" s="43"/>
      <c r="Q172" s="43"/>
      <c r="R172" s="43"/>
      <c r="S172" s="43"/>
    </row>
    <row r="173" spans="2:19" x14ac:dyDescent="0.2">
      <c r="B173" s="32" t="str">
        <f>'General System Parameters'!B27</f>
        <v>KT (dBm/Hz)</v>
      </c>
      <c r="C173" s="33">
        <f>'General System Parameters'!C27</f>
        <v>-174</v>
      </c>
      <c r="F173" s="43"/>
      <c r="G173" s="43"/>
      <c r="H173" s="43"/>
      <c r="I173" s="43"/>
      <c r="J173" s="43"/>
      <c r="K173" s="43"/>
      <c r="L173" s="43"/>
      <c r="M173" s="43"/>
      <c r="N173" s="43"/>
      <c r="O173" s="43"/>
      <c r="P173" s="43"/>
      <c r="Q173" s="43"/>
      <c r="R173" s="43"/>
      <c r="S173" s="43"/>
    </row>
    <row r="174" spans="2:19" x14ac:dyDescent="0.2">
      <c r="B174" s="32" t="str">
        <f>'General System Parameters'!B28</f>
        <v>Sample Period (us)</v>
      </c>
      <c r="C174" s="33">
        <f>'General System Parameters'!C28</f>
        <v>1.2500000000000001E-2</v>
      </c>
      <c r="F174" s="43"/>
      <c r="G174" s="43"/>
      <c r="H174" s="43"/>
      <c r="I174" s="43"/>
      <c r="J174" s="43"/>
      <c r="K174" s="43"/>
      <c r="L174" s="43"/>
      <c r="M174" s="43"/>
      <c r="N174" s="43"/>
      <c r="O174" s="43"/>
      <c r="P174" s="43"/>
      <c r="Q174" s="43"/>
      <c r="R174" s="43"/>
      <c r="S174" s="43"/>
    </row>
    <row r="175" spans="2:19" x14ac:dyDescent="0.2">
      <c r="B175" s="37" t="str">
        <f>'General System Parameters'!B29</f>
        <v>ADC Bandwidth (MHz)</v>
      </c>
      <c r="C175" s="35">
        <f>'General System Parameters'!C29</f>
        <v>40</v>
      </c>
      <c r="F175" s="43"/>
      <c r="G175" s="43"/>
      <c r="H175" s="43"/>
      <c r="I175" s="43"/>
      <c r="J175" s="43"/>
      <c r="K175" s="43"/>
      <c r="L175" s="43"/>
      <c r="M175" s="43"/>
      <c r="N175" s="43"/>
      <c r="O175" s="43"/>
      <c r="P175" s="43"/>
      <c r="Q175" s="43"/>
      <c r="R175" s="43"/>
      <c r="S175" s="43"/>
    </row>
    <row r="176" spans="2:19" x14ac:dyDescent="0.2">
      <c r="B176" s="32" t="str">
        <f>'General System Parameters'!B30</f>
        <v>ADC Noise Level (dBm)</v>
      </c>
      <c r="C176" s="33">
        <f>'General System Parameters'!C30</f>
        <v>-65</v>
      </c>
      <c r="F176" s="43"/>
      <c r="G176" s="43"/>
      <c r="H176" s="43"/>
      <c r="I176" s="43"/>
      <c r="J176" s="43"/>
      <c r="K176" s="43"/>
      <c r="L176" s="43"/>
      <c r="M176" s="43"/>
      <c r="N176" s="43"/>
      <c r="O176" s="43"/>
      <c r="P176" s="43"/>
      <c r="Q176" s="43"/>
      <c r="R176" s="43"/>
      <c r="S176" s="43"/>
    </row>
    <row r="177" spans="2:19" x14ac:dyDescent="0.2">
      <c r="B177" s="32" t="str">
        <f>'General System Parameters'!B31</f>
        <v>Tapering Signal Gain Loss (dB) - 1st Rx</v>
      </c>
      <c r="C177" s="33">
        <f>'General System Parameters'!C31</f>
        <v>3.51</v>
      </c>
      <c r="F177" s="43"/>
      <c r="G177" s="43"/>
      <c r="H177" s="43"/>
      <c r="I177" s="43"/>
      <c r="J177" s="43"/>
      <c r="K177" s="43"/>
      <c r="L177" s="43"/>
      <c r="M177" s="43"/>
      <c r="N177" s="43"/>
      <c r="O177" s="43"/>
      <c r="P177" s="43"/>
      <c r="Q177" s="43"/>
      <c r="R177" s="43"/>
      <c r="S177" s="43"/>
    </row>
    <row r="178" spans="2:19" x14ac:dyDescent="0.2">
      <c r="B178" s="32" t="str">
        <f>'General System Parameters'!B32</f>
        <v>Tapering Noise Gain Loss (dB) - 1st Rx</v>
      </c>
      <c r="C178" s="33">
        <f>'General System Parameters'!C32</f>
        <v>3.1337000000000002</v>
      </c>
      <c r="F178" s="43"/>
      <c r="G178" s="43"/>
      <c r="H178" s="43"/>
      <c r="I178" s="43"/>
      <c r="J178" s="43"/>
      <c r="K178" s="43"/>
      <c r="L178" s="43"/>
      <c r="M178" s="43"/>
      <c r="N178" s="43"/>
      <c r="O178" s="43"/>
      <c r="P178" s="43"/>
      <c r="Q178" s="43"/>
      <c r="R178" s="43"/>
      <c r="S178" s="43"/>
    </row>
    <row r="179" spans="2:19" x14ac:dyDescent="0.2">
      <c r="B179" s="32" t="str">
        <f>'General System Parameters'!B33</f>
        <v>Tapering Signal Gain Loss (dB) - Ref (Guard) Rx</v>
      </c>
      <c r="C179" s="33">
        <f>'General System Parameters'!C33</f>
        <v>0</v>
      </c>
      <c r="F179" s="43"/>
      <c r="G179" s="43"/>
      <c r="H179" s="43"/>
      <c r="I179" s="43"/>
      <c r="J179" s="43"/>
      <c r="K179" s="43"/>
      <c r="L179" s="43"/>
      <c r="M179" s="43"/>
      <c r="N179" s="43"/>
      <c r="O179" s="43"/>
      <c r="P179" s="43"/>
      <c r="Q179" s="43"/>
      <c r="R179" s="43"/>
      <c r="S179" s="43"/>
    </row>
    <row r="180" spans="2:19" x14ac:dyDescent="0.2">
      <c r="B180" s="32" t="str">
        <f>'General System Parameters'!B34</f>
        <v>Tapering Noise Gain Loss (dB) - Ref (Guard) Rx</v>
      </c>
      <c r="C180" s="33">
        <f>'General System Parameters'!C34</f>
        <v>0</v>
      </c>
      <c r="F180" s="43"/>
      <c r="G180" s="43"/>
      <c r="H180" s="43"/>
      <c r="I180" s="43"/>
      <c r="J180" s="43"/>
      <c r="K180" s="43"/>
      <c r="L180" s="43"/>
      <c r="M180" s="43"/>
      <c r="N180" s="43"/>
      <c r="O180" s="43"/>
      <c r="P180" s="43"/>
      <c r="Q180" s="43"/>
      <c r="R180" s="43"/>
      <c r="S180" s="43"/>
    </row>
    <row r="181" spans="2:19" x14ac:dyDescent="0.2">
      <c r="B181" s="37" t="str">
        <f>'General System Parameters'!B35</f>
        <v>Tapering Rx Loss (dB)</v>
      </c>
      <c r="C181" s="35">
        <f>'General System Parameters'!C35</f>
        <v>0.37629999999999963</v>
      </c>
      <c r="F181" s="43"/>
      <c r="G181" s="43"/>
      <c r="H181" s="43"/>
      <c r="I181" s="43"/>
      <c r="J181" s="43"/>
      <c r="K181" s="43"/>
      <c r="L181" s="43"/>
      <c r="M181" s="43"/>
      <c r="N181" s="43"/>
      <c r="O181" s="43"/>
      <c r="P181" s="43"/>
      <c r="Q181" s="43"/>
      <c r="R181" s="43"/>
      <c r="S181" s="43"/>
    </row>
    <row r="182" spans="2:19" x14ac:dyDescent="0.2">
      <c r="B182" s="30" t="str">
        <f>'General System Parameters'!B36</f>
        <v>Number of T/R modules</v>
      </c>
      <c r="C182" s="31">
        <f>'General System Parameters'!C36</f>
        <v>41</v>
      </c>
      <c r="F182" s="43"/>
      <c r="G182" s="43"/>
      <c r="H182" s="43"/>
      <c r="I182" s="43"/>
      <c r="J182" s="43"/>
      <c r="K182" s="43"/>
      <c r="L182" s="43"/>
      <c r="M182" s="43"/>
      <c r="N182" s="43"/>
      <c r="O182" s="43"/>
      <c r="P182" s="43"/>
      <c r="Q182" s="43"/>
      <c r="R182" s="43"/>
      <c r="S182" s="43"/>
    </row>
    <row r="183" spans="2:19" x14ac:dyDescent="0.2">
      <c r="B183" s="30" t="str">
        <f>'General System Parameters'!B37</f>
        <v>Power per T/R module</v>
      </c>
      <c r="C183" s="31">
        <f>'General System Parameters'!C37</f>
        <v>10</v>
      </c>
      <c r="F183" s="43"/>
      <c r="G183" s="43"/>
      <c r="H183" s="43"/>
      <c r="I183" s="43"/>
      <c r="J183" s="43"/>
      <c r="K183" s="43"/>
      <c r="L183" s="43"/>
      <c r="M183" s="43"/>
      <c r="N183" s="43"/>
      <c r="O183" s="43"/>
      <c r="P183" s="43"/>
      <c r="Q183" s="43"/>
      <c r="R183" s="43"/>
      <c r="S183" s="43"/>
    </row>
    <row r="184" spans="2:19" x14ac:dyDescent="0.2">
      <c r="B184" s="30" t="str">
        <f>'General System Parameters'!B38</f>
        <v>Gain per T/R module [dB]</v>
      </c>
      <c r="C184" s="31">
        <f>'General System Parameters'!C38</f>
        <v>5</v>
      </c>
      <c r="F184" s="43"/>
      <c r="G184" s="43"/>
      <c r="H184" s="43"/>
      <c r="I184" s="43"/>
      <c r="J184" s="43"/>
      <c r="K184" s="43"/>
      <c r="L184" s="43"/>
      <c r="M184" s="43"/>
      <c r="N184" s="43"/>
      <c r="O184" s="43"/>
      <c r="P184" s="43"/>
      <c r="Q184" s="43"/>
      <c r="R184" s="43"/>
      <c r="S184" s="43"/>
    </row>
    <row r="185" spans="2:19" x14ac:dyDescent="0.2">
      <c r="B185" s="37" t="str">
        <f>'General System Parameters'!B39</f>
        <v>Available Power (dBm)</v>
      </c>
      <c r="C185" s="35">
        <f>'General System Parameters'!C39</f>
        <v>56.127838567197358</v>
      </c>
      <c r="F185" s="43"/>
      <c r="G185" s="43"/>
      <c r="H185" s="43"/>
      <c r="I185" s="43"/>
      <c r="J185" s="43"/>
      <c r="K185" s="43"/>
      <c r="L185" s="43"/>
      <c r="M185" s="43"/>
      <c r="N185" s="43"/>
      <c r="O185" s="43"/>
      <c r="P185" s="43"/>
      <c r="Q185" s="43"/>
      <c r="R185" s="43"/>
      <c r="S185" s="43"/>
    </row>
    <row r="186" spans="2:19" x14ac:dyDescent="0.2">
      <c r="B186" s="37" t="str">
        <f>'General System Parameters'!B40</f>
        <v>Gt,Gr</v>
      </c>
      <c r="C186" s="35">
        <f>'General System Parameters'!C40</f>
        <v>21.127838567197355</v>
      </c>
      <c r="F186" s="43"/>
      <c r="G186" s="43"/>
      <c r="H186" s="43"/>
      <c r="I186" s="43"/>
      <c r="J186" s="43"/>
      <c r="K186" s="43"/>
      <c r="L186" s="43"/>
      <c r="M186" s="43"/>
      <c r="N186" s="43"/>
      <c r="O186" s="43"/>
      <c r="P186" s="43"/>
      <c r="Q186" s="43"/>
      <c r="R186" s="43"/>
      <c r="S186" s="43"/>
    </row>
    <row r="187" spans="2:19" x14ac:dyDescent="0.2">
      <c r="B187" s="37" t="str">
        <f>'General System Parameters'!B41</f>
        <v>Gr - 1st Rx</v>
      </c>
      <c r="C187" s="35">
        <f>'General System Parameters'!C41</f>
        <v>15</v>
      </c>
      <c r="F187" s="43"/>
      <c r="G187" s="43"/>
      <c r="H187" s="43"/>
      <c r="I187" s="43"/>
      <c r="J187" s="43"/>
      <c r="K187" s="43"/>
      <c r="L187" s="43"/>
      <c r="M187" s="43"/>
      <c r="N187" s="43"/>
      <c r="O187" s="43"/>
      <c r="P187" s="43"/>
      <c r="Q187" s="43"/>
      <c r="R187" s="43"/>
      <c r="S187" s="43"/>
    </row>
    <row r="188" spans="2:19" x14ac:dyDescent="0.2">
      <c r="B188" s="37" t="str">
        <f>'General System Parameters'!B42</f>
        <v>Gr - Ref (Guard) Rx</v>
      </c>
      <c r="C188" s="35">
        <f>'General System Parameters'!C42</f>
        <v>5</v>
      </c>
      <c r="F188" s="43"/>
      <c r="G188" s="43"/>
      <c r="H188" s="43"/>
      <c r="I188" s="43"/>
      <c r="J188" s="43"/>
      <c r="K188" s="43"/>
      <c r="L188" s="43"/>
      <c r="M188" s="43"/>
      <c r="N188" s="43"/>
      <c r="O188" s="43"/>
      <c r="P188" s="43"/>
      <c r="Q188" s="43"/>
      <c r="R188" s="43"/>
      <c r="S188" s="43"/>
    </row>
    <row r="189" spans="2:19" x14ac:dyDescent="0.2">
      <c r="B189" s="37" t="str">
        <f>'General System Parameters'!B43</f>
        <v>λ2 (dB/m2)</v>
      </c>
      <c r="C189" s="35">
        <f>'General System Parameters'!C43</f>
        <v>-21.344946828446961</v>
      </c>
      <c r="F189" s="43"/>
      <c r="G189" s="43"/>
      <c r="H189" s="43"/>
      <c r="I189" s="43"/>
      <c r="J189" s="43"/>
      <c r="K189" s="43"/>
      <c r="L189" s="43"/>
      <c r="M189" s="43"/>
      <c r="N189" s="43"/>
      <c r="O189" s="43"/>
      <c r="P189" s="43"/>
      <c r="Q189" s="43"/>
      <c r="R189" s="43"/>
      <c r="S189" s="43"/>
    </row>
    <row r="190" spans="2:19" x14ac:dyDescent="0.2">
      <c r="B190" s="34" t="str">
        <f>'General System Parameters'!B44</f>
        <v>(4p)^3 (dB)</v>
      </c>
      <c r="C190" s="35">
        <f>'General System Parameters'!C44</f>
        <v>32.976295920662885</v>
      </c>
      <c r="F190" s="43"/>
      <c r="G190" s="43"/>
      <c r="H190" s="43"/>
      <c r="I190" s="43"/>
      <c r="J190" s="43"/>
      <c r="K190" s="43"/>
      <c r="L190" s="43"/>
      <c r="M190" s="43"/>
      <c r="N190" s="43"/>
      <c r="O190" s="43"/>
      <c r="P190" s="43"/>
      <c r="Q190" s="43"/>
      <c r="R190" s="43"/>
      <c r="S190" s="43"/>
    </row>
    <row r="191" spans="2:19" x14ac:dyDescent="0.2">
      <c r="B191" s="34" t="str">
        <f>'General System Parameters'!B45</f>
        <v>Miscellaneous Losses (dB)</v>
      </c>
      <c r="C191" s="35">
        <f>'General System Parameters'!C45</f>
        <v>0</v>
      </c>
      <c r="F191" s="43"/>
      <c r="G191" s="43"/>
      <c r="H191" s="43"/>
      <c r="I191" s="43"/>
      <c r="J191" s="43"/>
      <c r="K191" s="43"/>
      <c r="L191" s="43"/>
      <c r="M191" s="43"/>
      <c r="N191" s="43"/>
      <c r="O191" s="43"/>
      <c r="P191" s="43"/>
      <c r="Q191" s="43"/>
      <c r="R191" s="43"/>
      <c r="S191" s="43"/>
    </row>
    <row r="192" spans="2:19" x14ac:dyDescent="0.2">
      <c r="B192" s="36" t="str">
        <f>'General System Parameters'!B46</f>
        <v>FFT Window: BH</v>
      </c>
      <c r="C192" s="31" t="str">
        <f>'General System Parameters'!C46</f>
        <v>BH</v>
      </c>
      <c r="F192" s="43"/>
      <c r="G192" s="43"/>
      <c r="H192" s="43"/>
      <c r="I192" s="43"/>
      <c r="J192" s="43"/>
      <c r="K192" s="43"/>
      <c r="L192" s="43"/>
      <c r="M192" s="43"/>
      <c r="N192" s="43"/>
      <c r="O192" s="43"/>
      <c r="P192" s="43"/>
      <c r="Q192" s="43"/>
      <c r="R192" s="43"/>
      <c r="S192" s="43"/>
    </row>
    <row r="193" spans="2:19" x14ac:dyDescent="0.2">
      <c r="B193" s="34" t="str">
        <f>'General System Parameters'!B47</f>
        <v>Signal Gain Loss (dB)</v>
      </c>
      <c r="C193" s="35">
        <f>'General System Parameters'!C47</f>
        <v>8.9499999999999993</v>
      </c>
      <c r="F193" s="43"/>
      <c r="G193" s="43"/>
      <c r="H193" s="43"/>
      <c r="I193" s="43"/>
      <c r="J193" s="43"/>
      <c r="K193" s="43"/>
      <c r="L193" s="43"/>
      <c r="M193" s="43"/>
      <c r="N193" s="43"/>
      <c r="O193" s="43"/>
      <c r="P193" s="43"/>
      <c r="Q193" s="43"/>
      <c r="R193" s="43"/>
      <c r="S193" s="43"/>
    </row>
    <row r="194" spans="2:19" x14ac:dyDescent="0.2">
      <c r="B194" s="34" t="str">
        <f>'General System Parameters'!B48</f>
        <v>Noise Gain Loss (dB)</v>
      </c>
      <c r="C194" s="35">
        <f>'General System Parameters'!C48</f>
        <v>5.9</v>
      </c>
      <c r="F194" s="43"/>
      <c r="G194" s="43"/>
      <c r="H194" s="43"/>
      <c r="I194" s="43"/>
      <c r="J194" s="43"/>
      <c r="K194" s="43"/>
      <c r="L194" s="43"/>
      <c r="M194" s="43"/>
      <c r="N194" s="43"/>
      <c r="O194" s="43"/>
      <c r="P194" s="43"/>
      <c r="Q194" s="43"/>
      <c r="R194" s="43"/>
      <c r="S194" s="43"/>
    </row>
    <row r="195" spans="2:19" x14ac:dyDescent="0.2">
      <c r="B195" s="34" t="str">
        <f>'General System Parameters'!B49</f>
        <v>Normalized ENBW (dB)</v>
      </c>
      <c r="C195" s="35">
        <f>'General System Parameters'!C49</f>
        <v>3.0499999999999989</v>
      </c>
      <c r="F195" s="43"/>
      <c r="G195" s="43"/>
      <c r="H195" s="43"/>
      <c r="I195" s="43"/>
      <c r="J195" s="43"/>
      <c r="K195" s="43"/>
      <c r="L195" s="43"/>
      <c r="M195" s="43"/>
      <c r="N195" s="43"/>
      <c r="O195" s="43"/>
      <c r="P195" s="43"/>
      <c r="Q195" s="43"/>
      <c r="R195" s="43"/>
      <c r="S195" s="43"/>
    </row>
    <row r="196" spans="2:19" x14ac:dyDescent="0.2">
      <c r="B196" s="34" t="str">
        <f>'General System Parameters'!B50</f>
        <v>Window 3dB BW (bins)</v>
      </c>
      <c r="C196" s="35">
        <f>'General System Parameters'!C50</f>
        <v>1.9</v>
      </c>
      <c r="F196" s="43"/>
      <c r="G196" s="43"/>
      <c r="H196" s="43"/>
      <c r="I196" s="43"/>
      <c r="J196" s="43"/>
      <c r="K196" s="43"/>
      <c r="L196" s="43"/>
      <c r="M196" s="43"/>
      <c r="N196" s="43"/>
      <c r="O196" s="43"/>
      <c r="P196" s="43"/>
      <c r="Q196" s="43"/>
      <c r="R196" s="43"/>
      <c r="S196" s="43"/>
    </row>
    <row r="197" spans="2:19" x14ac:dyDescent="0.2">
      <c r="B197" s="34" t="str">
        <f>'General System Parameters'!B51</f>
        <v>Window 6dB BW (bins)</v>
      </c>
      <c r="C197" s="35">
        <f>'General System Parameters'!C51</f>
        <v>2.72</v>
      </c>
      <c r="F197" s="43"/>
      <c r="G197" s="43"/>
      <c r="H197" s="43"/>
      <c r="I197" s="43"/>
      <c r="J197" s="43"/>
      <c r="K197" s="43"/>
      <c r="L197" s="43"/>
      <c r="M197" s="43"/>
      <c r="N197" s="43"/>
      <c r="O197" s="43"/>
      <c r="P197" s="43"/>
      <c r="Q197" s="43"/>
      <c r="R197" s="43"/>
      <c r="S197" s="43"/>
    </row>
    <row r="198" spans="2:19" x14ac:dyDescent="0.2">
      <c r="B198" s="34" t="str">
        <f>'General System Parameters'!B52</f>
        <v>Scallop Loss (dB)</v>
      </c>
      <c r="C198" s="35">
        <f>'General System Parameters'!C52</f>
        <v>0.41278500000000001</v>
      </c>
      <c r="F198" s="43"/>
      <c r="G198" s="43"/>
      <c r="H198" s="43"/>
      <c r="I198" s="43"/>
      <c r="J198" s="43"/>
      <c r="K198" s="43"/>
      <c r="L198" s="43"/>
      <c r="M198" s="43"/>
      <c r="N198" s="43"/>
      <c r="O198" s="43"/>
      <c r="P198" s="43"/>
      <c r="Q198" s="43"/>
      <c r="R198" s="43"/>
      <c r="S198" s="43"/>
    </row>
    <row r="199" spans="2:19" x14ac:dyDescent="0.2">
      <c r="B199" s="32" t="str">
        <f>'General System Parameters'!B53</f>
        <v>Rectangular 6dB BW (bins)</v>
      </c>
      <c r="C199" s="33">
        <f>'General System Parameters'!C53</f>
        <v>1.21</v>
      </c>
      <c r="F199" s="43"/>
      <c r="G199" s="43"/>
      <c r="H199" s="43"/>
      <c r="I199" s="43"/>
      <c r="J199" s="43"/>
      <c r="K199" s="43"/>
      <c r="L199" s="43"/>
      <c r="M199" s="43"/>
      <c r="N199" s="43"/>
      <c r="O199" s="43"/>
      <c r="P199" s="43"/>
      <c r="Q199" s="43"/>
      <c r="R199" s="43"/>
      <c r="S199" s="43"/>
    </row>
    <row r="200" spans="2:19" x14ac:dyDescent="0.2">
      <c r="B200" s="34" t="str">
        <f>'General System Parameters'!B54</f>
        <v>Window Peak Spreading (bins)</v>
      </c>
      <c r="C200" s="35">
        <f>'General System Parameters'!C54</f>
        <v>9</v>
      </c>
      <c r="F200" s="43"/>
      <c r="G200" s="43"/>
      <c r="H200" s="43"/>
      <c r="I200" s="43"/>
      <c r="J200" s="43"/>
      <c r="K200" s="43"/>
      <c r="L200" s="43"/>
      <c r="M200" s="43"/>
      <c r="N200" s="43"/>
      <c r="O200" s="43"/>
      <c r="P200" s="43"/>
      <c r="Q200" s="43"/>
      <c r="R200" s="43"/>
      <c r="S200" s="43"/>
    </row>
    <row r="201" spans="2:19" x14ac:dyDescent="0.2">
      <c r="B201" s="36" t="str">
        <f>'General System Parameters'!B55</f>
        <v>#samples for noise estimation</v>
      </c>
      <c r="C201" s="31">
        <f>'General System Parameters'!C55</f>
        <v>12</v>
      </c>
      <c r="F201" s="43"/>
      <c r="G201" s="43"/>
      <c r="H201" s="43"/>
      <c r="I201" s="43"/>
      <c r="J201" s="43"/>
      <c r="K201" s="43"/>
      <c r="L201" s="43"/>
      <c r="M201" s="43"/>
      <c r="N201" s="43"/>
      <c r="O201" s="43"/>
      <c r="P201" s="43"/>
      <c r="Q201" s="43"/>
      <c r="R201" s="43"/>
      <c r="S201" s="43"/>
    </row>
    <row r="202" spans="2:19" x14ac:dyDescent="0.2">
      <c r="B202" s="34" t="str">
        <f>'General System Parameters'!B56</f>
        <v>Straddling Loss (dB) - w/o OL</v>
      </c>
      <c r="C202" s="35">
        <f>'General System Parameters'!C56</f>
        <v>3</v>
      </c>
    </row>
    <row r="203" spans="2:19" x14ac:dyDescent="0.2">
      <c r="B203" s="34" t="str">
        <f>'General System Parameters'!B57</f>
        <v>Straddling Loss (dB) - with 50% OL</v>
      </c>
      <c r="C203" s="35">
        <f>'General System Parameters'!C57</f>
        <v>1.25</v>
      </c>
    </row>
    <row r="204" spans="2:19" x14ac:dyDescent="0.2">
      <c r="B204" s="30" t="str">
        <f>'General System Parameters'!B58</f>
        <v>Freq Desynchronization factor (ppb)</v>
      </c>
      <c r="C204" s="31">
        <f>'General System Parameters'!C58</f>
        <v>5</v>
      </c>
    </row>
    <row r="205" spans="2:19" x14ac:dyDescent="0.2">
      <c r="B205" s="34" t="str">
        <f>'General System Parameters'!B59</f>
        <v>Freq Desynchronization factor (Hz)</v>
      </c>
      <c r="C205" s="35">
        <f>'General System Parameters'!C59</f>
        <v>17.5</v>
      </c>
    </row>
    <row r="206" spans="2:19" x14ac:dyDescent="0.2">
      <c r="B206" s="34" t="str">
        <f>'General System Parameters'!B60</f>
        <v>Freq Desynchronization factor (m/s)</v>
      </c>
      <c r="C206" s="35">
        <f>'General System Parameters'!C60</f>
        <v>0.74948114500000007</v>
      </c>
    </row>
    <row r="207" spans="2:19" x14ac:dyDescent="0.2">
      <c r="B207" s="30" t="str">
        <f>'General System Parameters'!B61</f>
        <v>Time Desynchronization factor (ppm)</v>
      </c>
      <c r="C207" s="31">
        <f>'General System Parameters'!C61</f>
        <v>0.2</v>
      </c>
    </row>
    <row r="208" spans="2:19" x14ac:dyDescent="0.2">
      <c r="B208" s="30" t="str">
        <f>'General System Parameters'!B62</f>
        <v>Synchronization window per seq (μs)</v>
      </c>
      <c r="C208" s="31">
        <f>'General System Parameters'!C62</f>
        <v>0.1</v>
      </c>
    </row>
    <row r="209" spans="2:3" x14ac:dyDescent="0.2">
      <c r="B209" s="117" t="str">
        <f>'General System Parameters'!B63</f>
        <v>#RG in Optimized Mode (one side)</v>
      </c>
      <c r="C209" s="118">
        <f>'General System Parameters'!C63</f>
        <v>7</v>
      </c>
    </row>
    <row r="210" spans="2:3" x14ac:dyDescent="0.2">
      <c r="B210" s="30" t="str">
        <f>'General System Parameters'!B64</f>
        <v>Total #RG in Optimized Mode</v>
      </c>
      <c r="C210" s="31">
        <f>'General System Parameters'!C64</f>
        <v>15</v>
      </c>
    </row>
  </sheetData>
  <mergeCells count="4">
    <mergeCell ref="B150:D150"/>
    <mergeCell ref="C1:D1"/>
    <mergeCell ref="E1:T1"/>
    <mergeCell ref="B145:D145"/>
  </mergeCells>
  <conditionalFormatting sqref="C61:D61">
    <cfRule type="cellIs" dxfId="3" priority="5" operator="greaterThan">
      <formula>3</formula>
    </cfRule>
  </conditionalFormatting>
  <conditionalFormatting sqref="C49">
    <cfRule type="cellIs" dxfId="2" priority="3" operator="greaterThan">
      <formula>"2&amp;&amp;$C$57&gt;$C$58"</formula>
    </cfRule>
  </conditionalFormatting>
  <conditionalFormatting sqref="C59">
    <cfRule type="expression" dxfId="1" priority="2">
      <formula>AND(C$59 &gt; C$50, C$49&gt;1)</formula>
    </cfRule>
  </conditionalFormatting>
  <conditionalFormatting sqref="D59">
    <cfRule type="expression" dxfId="0" priority="1">
      <formula>AND(D$59 &gt; D$50, D$49&gt;1)</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1"/>
  <sheetViews>
    <sheetView zoomScale="130" zoomScaleNormal="130" workbookViewId="0">
      <selection activeCell="M7" sqref="M7"/>
    </sheetView>
  </sheetViews>
  <sheetFormatPr defaultRowHeight="14.25" x14ac:dyDescent="0.2"/>
  <cols>
    <col min="10" max="10" width="10.75" customWidth="1"/>
    <col min="11" max="11" width="11.625" customWidth="1"/>
    <col min="12" max="13" width="12.625" customWidth="1"/>
    <col min="14" max="14" width="12.375" customWidth="1"/>
    <col min="15" max="15" width="13.875" customWidth="1"/>
    <col min="16" max="16" width="35.125" bestFit="1" customWidth="1"/>
  </cols>
  <sheetData>
    <row r="1" spans="1:16" ht="15" x14ac:dyDescent="0.25">
      <c r="A1" s="22"/>
      <c r="B1" s="145" t="s">
        <v>423</v>
      </c>
      <c r="C1" s="146"/>
      <c r="D1" s="146"/>
      <c r="E1" s="147"/>
      <c r="F1" s="145" t="s">
        <v>416</v>
      </c>
      <c r="G1" s="147"/>
      <c r="H1" s="145" t="s">
        <v>412</v>
      </c>
      <c r="I1" s="146"/>
      <c r="J1" s="147"/>
      <c r="K1" s="107" t="s">
        <v>416</v>
      </c>
      <c r="L1" s="145" t="s">
        <v>418</v>
      </c>
      <c r="M1" s="147"/>
      <c r="N1" s="145" t="s">
        <v>419</v>
      </c>
      <c r="O1" s="147"/>
      <c r="P1" s="109" t="s">
        <v>484</v>
      </c>
    </row>
    <row r="2" spans="1:16" ht="15" x14ac:dyDescent="0.2">
      <c r="A2" s="116" t="s">
        <v>409</v>
      </c>
      <c r="B2" s="116" t="s">
        <v>410</v>
      </c>
      <c r="C2" s="116" t="s">
        <v>411</v>
      </c>
      <c r="D2" s="116" t="s">
        <v>14</v>
      </c>
      <c r="E2" s="116" t="s">
        <v>413</v>
      </c>
      <c r="F2" s="116" t="s">
        <v>14</v>
      </c>
      <c r="G2" s="116" t="s">
        <v>413</v>
      </c>
      <c r="H2" s="116" t="s">
        <v>410</v>
      </c>
      <c r="I2" s="116" t="s">
        <v>411</v>
      </c>
      <c r="J2" s="116" t="s">
        <v>14</v>
      </c>
      <c r="K2" s="116" t="s">
        <v>14</v>
      </c>
      <c r="L2" s="116" t="s">
        <v>420</v>
      </c>
      <c r="M2" s="116" t="s">
        <v>421</v>
      </c>
      <c r="N2" s="116" t="s">
        <v>420</v>
      </c>
      <c r="O2" s="116" t="s">
        <v>421</v>
      </c>
    </row>
    <row r="3" spans="1:16" x14ac:dyDescent="0.2">
      <c r="A3" s="19">
        <v>0</v>
      </c>
      <c r="B3" s="19">
        <v>0</v>
      </c>
      <c r="C3" s="19">
        <v>0</v>
      </c>
      <c r="D3" s="19">
        <v>2.56</v>
      </c>
      <c r="E3" s="19">
        <v>2.76</v>
      </c>
      <c r="F3" s="108">
        <v>2.57</v>
      </c>
      <c r="G3" s="108">
        <v>2.77</v>
      </c>
      <c r="H3" s="19">
        <v>0</v>
      </c>
      <c r="I3" s="19">
        <v>0</v>
      </c>
      <c r="J3" s="19">
        <v>2.4700000000000002</v>
      </c>
      <c r="K3" s="108">
        <v>2.48</v>
      </c>
      <c r="L3" s="110">
        <v>59.76</v>
      </c>
      <c r="M3" s="110">
        <v>56.62</v>
      </c>
      <c r="N3" s="110">
        <v>54.1</v>
      </c>
      <c r="O3" s="110" t="s">
        <v>485</v>
      </c>
    </row>
    <row r="4" spans="1:16" x14ac:dyDescent="0.2">
      <c r="A4" s="19">
        <v>1</v>
      </c>
      <c r="B4" s="19">
        <v>0</v>
      </c>
      <c r="C4" s="19">
        <v>15</v>
      </c>
      <c r="D4" s="19">
        <v>2.59</v>
      </c>
      <c r="E4" s="19">
        <v>2.82</v>
      </c>
      <c r="F4" s="108">
        <v>2.75</v>
      </c>
      <c r="G4" s="108">
        <v>3.12</v>
      </c>
      <c r="H4" s="19">
        <v>0</v>
      </c>
      <c r="I4" s="19">
        <v>5</v>
      </c>
      <c r="J4" s="19">
        <v>2.4700000000000002</v>
      </c>
      <c r="K4" s="108">
        <v>2.5299999999999998</v>
      </c>
      <c r="L4" s="22"/>
      <c r="M4" s="22"/>
      <c r="N4" s="22"/>
      <c r="O4" s="22"/>
    </row>
    <row r="5" spans="1:16" x14ac:dyDescent="0.2">
      <c r="A5" s="19">
        <v>2</v>
      </c>
      <c r="B5" s="19">
        <v>0</v>
      </c>
      <c r="C5" s="19">
        <v>20</v>
      </c>
      <c r="D5" s="19">
        <v>2.66</v>
      </c>
      <c r="E5" s="19">
        <v>2.95</v>
      </c>
      <c r="F5" s="108">
        <v>3.13</v>
      </c>
      <c r="G5" s="108">
        <v>3.81</v>
      </c>
      <c r="H5" s="19">
        <v>0</v>
      </c>
      <c r="I5" s="19">
        <v>5</v>
      </c>
      <c r="J5" s="19">
        <v>2.4700000000000002</v>
      </c>
      <c r="K5" s="108">
        <v>2.5299999999999998</v>
      </c>
      <c r="L5" s="22"/>
      <c r="M5" s="22"/>
      <c r="N5" s="22"/>
      <c r="O5" s="22"/>
    </row>
    <row r="6" spans="1:16" x14ac:dyDescent="0.2">
      <c r="A6" s="19">
        <v>3</v>
      </c>
      <c r="B6" s="19">
        <v>0</v>
      </c>
      <c r="C6" s="19">
        <v>25</v>
      </c>
      <c r="D6" s="19">
        <v>2.86</v>
      </c>
      <c r="E6" s="19">
        <v>3.33</v>
      </c>
      <c r="F6" s="108">
        <v>4.1399999999999997</v>
      </c>
      <c r="G6" s="108">
        <v>5.47</v>
      </c>
      <c r="H6" s="19">
        <v>0</v>
      </c>
      <c r="I6" s="19">
        <v>5</v>
      </c>
      <c r="J6" s="19">
        <v>2.4700000000000002</v>
      </c>
      <c r="K6" s="108">
        <v>2.5299999999999998</v>
      </c>
      <c r="L6" s="22"/>
      <c r="M6" s="22"/>
      <c r="N6" s="22"/>
      <c r="O6" s="22"/>
    </row>
    <row r="7" spans="1:16" x14ac:dyDescent="0.2">
      <c r="A7" s="19">
        <v>4</v>
      </c>
      <c r="B7" s="19">
        <v>5</v>
      </c>
      <c r="C7" s="19">
        <v>25</v>
      </c>
      <c r="D7" s="19">
        <v>3.53</v>
      </c>
      <c r="E7" s="19">
        <v>4.5</v>
      </c>
      <c r="F7" s="108">
        <v>6.39</v>
      </c>
      <c r="G7" s="108">
        <v>8.5399999999999991</v>
      </c>
      <c r="H7" s="19">
        <v>0</v>
      </c>
      <c r="I7" s="19">
        <v>10</v>
      </c>
      <c r="J7" s="19">
        <v>2.5</v>
      </c>
      <c r="K7" s="108">
        <v>2.68</v>
      </c>
      <c r="L7" s="22"/>
      <c r="M7" s="22"/>
      <c r="N7" s="22"/>
      <c r="O7" s="22"/>
    </row>
    <row r="8" spans="1:16" x14ac:dyDescent="0.2">
      <c r="A8" s="19">
        <v>5</v>
      </c>
      <c r="B8" s="19">
        <v>10</v>
      </c>
      <c r="C8" s="19">
        <v>25</v>
      </c>
      <c r="D8" s="19">
        <v>5.16</v>
      </c>
      <c r="E8" s="19">
        <v>6.93</v>
      </c>
      <c r="F8" s="112">
        <v>9.9600000000000009</v>
      </c>
      <c r="G8" s="112">
        <v>12.7</v>
      </c>
      <c r="H8" s="19">
        <v>0</v>
      </c>
      <c r="I8" s="19">
        <v>15</v>
      </c>
      <c r="J8" s="19">
        <v>2.58</v>
      </c>
      <c r="K8" s="108">
        <v>3.13</v>
      </c>
      <c r="L8" s="22"/>
      <c r="M8" s="22"/>
      <c r="N8" s="22"/>
      <c r="O8" s="22"/>
    </row>
    <row r="9" spans="1:16" x14ac:dyDescent="0.2">
      <c r="A9" s="19">
        <v>6</v>
      </c>
      <c r="B9" s="19">
        <v>15</v>
      </c>
      <c r="C9" s="19">
        <v>25</v>
      </c>
      <c r="D9" s="19">
        <v>8.14</v>
      </c>
      <c r="E9" s="19">
        <v>10.64</v>
      </c>
      <c r="F9" s="112">
        <v>14.39</v>
      </c>
      <c r="G9" s="112">
        <v>17.39</v>
      </c>
      <c r="H9" s="19">
        <v>0</v>
      </c>
      <c r="I9" s="19">
        <v>20</v>
      </c>
      <c r="J9" s="19">
        <v>2.82</v>
      </c>
      <c r="K9" s="108">
        <v>4.3</v>
      </c>
      <c r="L9" s="22"/>
      <c r="M9" s="22"/>
      <c r="N9" s="22"/>
      <c r="O9" s="22"/>
      <c r="P9" s="111" t="s">
        <v>422</v>
      </c>
    </row>
    <row r="12" spans="1:16" ht="15" x14ac:dyDescent="0.25">
      <c r="A12" s="22"/>
      <c r="B12" s="145" t="s">
        <v>423</v>
      </c>
      <c r="C12" s="146"/>
      <c r="D12" s="146"/>
      <c r="E12" s="147"/>
      <c r="F12" s="145" t="s">
        <v>416</v>
      </c>
      <c r="G12" s="147"/>
      <c r="H12" s="145" t="s">
        <v>412</v>
      </c>
      <c r="I12" s="146"/>
      <c r="J12" s="147"/>
      <c r="K12" s="107" t="s">
        <v>416</v>
      </c>
      <c r="L12" s="145" t="s">
        <v>418</v>
      </c>
      <c r="M12" s="147"/>
      <c r="N12" s="145" t="s">
        <v>419</v>
      </c>
      <c r="O12" s="147"/>
      <c r="P12" s="109" t="s">
        <v>486</v>
      </c>
    </row>
    <row r="13" spans="1:16" ht="15" x14ac:dyDescent="0.2">
      <c r="A13" s="116" t="s">
        <v>409</v>
      </c>
      <c r="B13" s="116" t="s">
        <v>410</v>
      </c>
      <c r="C13" s="116" t="s">
        <v>411</v>
      </c>
      <c r="D13" s="116" t="s">
        <v>14</v>
      </c>
      <c r="E13" s="116" t="s">
        <v>413</v>
      </c>
      <c r="F13" s="116" t="s">
        <v>14</v>
      </c>
      <c r="G13" s="116" t="s">
        <v>413</v>
      </c>
      <c r="H13" s="116" t="s">
        <v>410</v>
      </c>
      <c r="I13" s="116" t="s">
        <v>411</v>
      </c>
      <c r="J13" s="116" t="s">
        <v>14</v>
      </c>
      <c r="K13" s="116" t="s">
        <v>14</v>
      </c>
      <c r="L13" s="116" t="s">
        <v>420</v>
      </c>
      <c r="M13" s="116" t="s">
        <v>421</v>
      </c>
      <c r="N13" s="116" t="s">
        <v>420</v>
      </c>
      <c r="O13" s="116" t="s">
        <v>421</v>
      </c>
    </row>
    <row r="14" spans="1:16" x14ac:dyDescent="0.2">
      <c r="A14" s="19">
        <v>0</v>
      </c>
      <c r="B14" s="19">
        <v>0</v>
      </c>
      <c r="C14" s="19">
        <v>0</v>
      </c>
      <c r="D14" s="19">
        <v>2.5299999999999998</v>
      </c>
      <c r="E14" s="19"/>
      <c r="F14" s="108">
        <v>2.54</v>
      </c>
      <c r="G14" s="108"/>
      <c r="H14" s="19">
        <v>0</v>
      </c>
      <c r="I14" s="19">
        <v>0</v>
      </c>
      <c r="J14" s="19">
        <v>2.34</v>
      </c>
      <c r="K14" s="108">
        <v>2.35</v>
      </c>
      <c r="L14" s="110">
        <v>57.16</v>
      </c>
      <c r="M14" s="110" t="s">
        <v>485</v>
      </c>
      <c r="N14" s="110">
        <v>63.8</v>
      </c>
      <c r="O14" s="110" t="s">
        <v>485</v>
      </c>
    </row>
    <row r="15" spans="1:16" x14ac:dyDescent="0.2">
      <c r="A15" s="19">
        <v>1</v>
      </c>
      <c r="B15" s="19">
        <v>0</v>
      </c>
      <c r="C15" s="19">
        <v>15</v>
      </c>
      <c r="D15" s="19">
        <v>2.58</v>
      </c>
      <c r="E15" s="19"/>
      <c r="F15" s="108">
        <v>2.87</v>
      </c>
      <c r="G15" s="108"/>
      <c r="H15" s="19">
        <v>0</v>
      </c>
      <c r="I15" s="19">
        <v>15</v>
      </c>
      <c r="J15" s="19">
        <v>2.36</v>
      </c>
      <c r="K15" s="108">
        <v>2.42</v>
      </c>
      <c r="L15" s="22"/>
      <c r="M15" s="22"/>
      <c r="N15" s="22"/>
      <c r="O15" s="22"/>
    </row>
    <row r="16" spans="1:16" x14ac:dyDescent="0.2">
      <c r="A16" s="19">
        <v>2</v>
      </c>
      <c r="B16" s="19">
        <v>0</v>
      </c>
      <c r="C16" s="19">
        <v>20</v>
      </c>
      <c r="D16" s="19">
        <v>2.69</v>
      </c>
      <c r="E16" s="19"/>
      <c r="F16" s="108">
        <v>3.51</v>
      </c>
      <c r="G16" s="108"/>
      <c r="H16" s="19">
        <v>0</v>
      </c>
      <c r="I16" s="19">
        <v>15</v>
      </c>
      <c r="J16" s="19">
        <v>2.36</v>
      </c>
      <c r="K16" s="108">
        <v>2.42</v>
      </c>
      <c r="L16" s="22"/>
      <c r="M16" s="22"/>
      <c r="N16" s="22"/>
      <c r="O16" s="22"/>
    </row>
    <row r="17" spans="1:16" x14ac:dyDescent="0.2">
      <c r="A17" s="19">
        <v>3</v>
      </c>
      <c r="B17" s="19">
        <v>5</v>
      </c>
      <c r="C17" s="19">
        <v>20</v>
      </c>
      <c r="D17" s="19">
        <v>3.05</v>
      </c>
      <c r="E17" s="19"/>
      <c r="F17" s="108">
        <v>5.09</v>
      </c>
      <c r="G17" s="108"/>
      <c r="H17" s="19">
        <v>5</v>
      </c>
      <c r="I17" s="19">
        <v>15</v>
      </c>
      <c r="J17" s="19">
        <v>2.39</v>
      </c>
      <c r="K17" s="108">
        <v>2.6</v>
      </c>
      <c r="L17" s="22"/>
      <c r="M17" s="22"/>
      <c r="N17" s="22"/>
      <c r="O17" s="22"/>
    </row>
    <row r="18" spans="1:16" x14ac:dyDescent="0.2">
      <c r="A18" s="19">
        <v>4</v>
      </c>
      <c r="B18" s="19">
        <v>10</v>
      </c>
      <c r="C18" s="19">
        <v>20</v>
      </c>
      <c r="D18" s="19">
        <v>4.01</v>
      </c>
      <c r="E18" s="19"/>
      <c r="F18" s="112">
        <v>8.0299999999999994</v>
      </c>
      <c r="G18" s="112"/>
      <c r="H18" s="19">
        <v>10</v>
      </c>
      <c r="I18" s="19">
        <v>15</v>
      </c>
      <c r="J18" s="19">
        <v>2.5</v>
      </c>
      <c r="K18" s="108">
        <v>3.1</v>
      </c>
      <c r="L18" s="22"/>
      <c r="M18" s="22"/>
      <c r="N18" s="22"/>
      <c r="O18" s="22"/>
    </row>
    <row r="19" spans="1:16" x14ac:dyDescent="0.2">
      <c r="A19" s="19">
        <v>5</v>
      </c>
      <c r="B19" s="19">
        <v>15</v>
      </c>
      <c r="C19" s="19">
        <v>20</v>
      </c>
      <c r="D19" s="19">
        <v>6.12</v>
      </c>
      <c r="E19" s="19"/>
      <c r="F19" s="112">
        <v>12.1</v>
      </c>
      <c r="G19" s="112"/>
      <c r="H19" s="19">
        <v>15</v>
      </c>
      <c r="I19" s="19">
        <v>15</v>
      </c>
      <c r="J19" s="19">
        <v>2.83</v>
      </c>
      <c r="K19" s="108">
        <v>4.4000000000000004</v>
      </c>
      <c r="L19" s="22"/>
      <c r="M19" s="22"/>
      <c r="N19" s="22"/>
      <c r="O19" s="22"/>
    </row>
    <row r="20" spans="1:16" x14ac:dyDescent="0.2">
      <c r="A20" s="19">
        <v>6</v>
      </c>
      <c r="B20" s="19">
        <v>20</v>
      </c>
      <c r="C20" s="19">
        <v>20</v>
      </c>
      <c r="D20" s="19">
        <v>9.58</v>
      </c>
      <c r="E20" s="19"/>
      <c r="F20" s="112">
        <v>16.760000000000002</v>
      </c>
      <c r="G20" s="112"/>
      <c r="H20" s="19">
        <v>20</v>
      </c>
      <c r="I20" s="19">
        <v>15</v>
      </c>
      <c r="J20" s="19">
        <v>3.74</v>
      </c>
      <c r="K20" s="112">
        <v>6.99</v>
      </c>
      <c r="L20" s="22"/>
      <c r="M20" s="22"/>
      <c r="N20" s="22"/>
      <c r="O20" s="22"/>
    </row>
    <row r="23" spans="1:16" ht="15" x14ac:dyDescent="0.25">
      <c r="A23" s="22"/>
      <c r="B23" s="145" t="s">
        <v>423</v>
      </c>
      <c r="C23" s="146"/>
      <c r="D23" s="146"/>
      <c r="E23" s="147"/>
      <c r="F23" s="145" t="s">
        <v>416</v>
      </c>
      <c r="G23" s="147"/>
      <c r="H23" s="145" t="s">
        <v>412</v>
      </c>
      <c r="I23" s="146"/>
      <c r="J23" s="147"/>
      <c r="K23" s="107" t="s">
        <v>416</v>
      </c>
      <c r="L23" s="145" t="s">
        <v>418</v>
      </c>
      <c r="M23" s="147"/>
      <c r="N23" s="145" t="s">
        <v>419</v>
      </c>
      <c r="O23" s="147"/>
      <c r="P23" s="109" t="s">
        <v>487</v>
      </c>
    </row>
    <row r="24" spans="1:16" ht="15" x14ac:dyDescent="0.2">
      <c r="A24" s="116" t="s">
        <v>409</v>
      </c>
      <c r="B24" s="116" t="s">
        <v>410</v>
      </c>
      <c r="C24" s="116" t="s">
        <v>411</v>
      </c>
      <c r="D24" s="116" t="s">
        <v>14</v>
      </c>
      <c r="E24" s="116" t="s">
        <v>413</v>
      </c>
      <c r="F24" s="116" t="s">
        <v>14</v>
      </c>
      <c r="G24" s="116" t="s">
        <v>413</v>
      </c>
      <c r="H24" s="116" t="s">
        <v>410</v>
      </c>
      <c r="I24" s="116" t="s">
        <v>411</v>
      </c>
      <c r="J24" s="116" t="s">
        <v>14</v>
      </c>
      <c r="K24" s="116" t="s">
        <v>14</v>
      </c>
      <c r="L24" s="116" t="s">
        <v>420</v>
      </c>
      <c r="M24" s="116" t="s">
        <v>421</v>
      </c>
      <c r="N24" s="116" t="s">
        <v>420</v>
      </c>
      <c r="O24" s="116" t="s">
        <v>421</v>
      </c>
    </row>
    <row r="25" spans="1:16" x14ac:dyDescent="0.2">
      <c r="A25" s="19">
        <v>0</v>
      </c>
      <c r="B25" s="19">
        <v>0</v>
      </c>
      <c r="C25" s="19">
        <v>0</v>
      </c>
      <c r="D25" s="19">
        <v>2.34</v>
      </c>
      <c r="E25" s="19"/>
      <c r="F25" s="108">
        <v>2.36</v>
      </c>
      <c r="G25" s="108"/>
      <c r="H25" s="19">
        <v>0</v>
      </c>
      <c r="I25" s="19">
        <v>0</v>
      </c>
      <c r="J25" s="19">
        <v>2.36</v>
      </c>
      <c r="K25" s="108">
        <v>2.36</v>
      </c>
      <c r="L25" s="110">
        <v>55.76</v>
      </c>
      <c r="M25" s="110" t="s">
        <v>485</v>
      </c>
      <c r="N25" s="110">
        <v>60.2</v>
      </c>
      <c r="O25" s="110" t="s">
        <v>485</v>
      </c>
    </row>
    <row r="26" spans="1:16" x14ac:dyDescent="0.2">
      <c r="A26" s="19">
        <v>1</v>
      </c>
      <c r="B26" s="19">
        <v>0</v>
      </c>
      <c r="C26" s="19">
        <v>10</v>
      </c>
      <c r="D26" s="19">
        <v>2.37</v>
      </c>
      <c r="E26" s="19"/>
      <c r="F26" s="108">
        <v>2.5</v>
      </c>
      <c r="G26" s="108"/>
      <c r="H26" s="19">
        <v>0</v>
      </c>
      <c r="I26" s="19">
        <v>10</v>
      </c>
      <c r="J26" s="19">
        <v>2.37</v>
      </c>
      <c r="K26" s="108">
        <v>2.42</v>
      </c>
      <c r="L26" s="22"/>
      <c r="M26" s="22"/>
      <c r="N26" s="22"/>
      <c r="O26" s="22"/>
    </row>
    <row r="27" spans="1:16" x14ac:dyDescent="0.2">
      <c r="A27" s="19">
        <v>2</v>
      </c>
      <c r="B27" s="19">
        <v>0</v>
      </c>
      <c r="C27" s="19">
        <v>15</v>
      </c>
      <c r="D27" s="19">
        <v>2.42</v>
      </c>
      <c r="E27" s="19"/>
      <c r="F27" s="108">
        <v>2.82</v>
      </c>
      <c r="G27" s="108"/>
      <c r="H27" s="19">
        <v>0</v>
      </c>
      <c r="I27" s="19">
        <v>15</v>
      </c>
      <c r="J27" s="19">
        <v>2.39</v>
      </c>
      <c r="K27" s="108">
        <v>2.54</v>
      </c>
      <c r="L27" s="22"/>
      <c r="M27" s="22"/>
      <c r="N27" s="22"/>
      <c r="O27" s="22"/>
    </row>
    <row r="28" spans="1:16" x14ac:dyDescent="0.2">
      <c r="A28" s="19">
        <v>3</v>
      </c>
      <c r="B28" s="19">
        <v>5</v>
      </c>
      <c r="C28" s="19">
        <v>15</v>
      </c>
      <c r="D28" s="19">
        <v>2.64</v>
      </c>
      <c r="E28" s="19"/>
      <c r="F28" s="108">
        <v>3.74</v>
      </c>
      <c r="G28" s="108"/>
      <c r="H28" s="19">
        <v>5</v>
      </c>
      <c r="I28" s="19">
        <v>15</v>
      </c>
      <c r="J28" s="19">
        <v>2.4700000000000002</v>
      </c>
      <c r="K28" s="108">
        <v>2.91</v>
      </c>
      <c r="L28" s="22"/>
      <c r="M28" s="22"/>
      <c r="N28" s="22"/>
      <c r="O28" s="22"/>
    </row>
    <row r="29" spans="1:16" x14ac:dyDescent="0.2">
      <c r="A29" s="19">
        <v>4</v>
      </c>
      <c r="B29" s="19">
        <v>10</v>
      </c>
      <c r="C29" s="19">
        <v>15</v>
      </c>
      <c r="D29" s="19">
        <v>3.27</v>
      </c>
      <c r="E29" s="19"/>
      <c r="F29" s="108">
        <v>5.79</v>
      </c>
      <c r="G29" s="108"/>
      <c r="H29" s="19">
        <v>10</v>
      </c>
      <c r="I29" s="19">
        <v>15</v>
      </c>
      <c r="J29" s="19">
        <v>2.71</v>
      </c>
      <c r="K29" s="108">
        <v>3.93</v>
      </c>
      <c r="L29" s="22"/>
      <c r="M29" s="22"/>
      <c r="N29" s="22"/>
      <c r="O29" s="22"/>
    </row>
    <row r="30" spans="1:16" x14ac:dyDescent="0.2">
      <c r="A30" s="19">
        <v>5</v>
      </c>
      <c r="B30" s="19">
        <v>15</v>
      </c>
      <c r="C30" s="19">
        <v>15</v>
      </c>
      <c r="D30" s="19">
        <v>4.8</v>
      </c>
      <c r="E30" s="19"/>
      <c r="F30" s="112">
        <v>9.1999999999999993</v>
      </c>
      <c r="G30" s="112"/>
      <c r="H30" s="19">
        <v>15</v>
      </c>
      <c r="I30" s="19">
        <v>15</v>
      </c>
      <c r="J30" s="19">
        <v>3.41</v>
      </c>
      <c r="K30" s="112">
        <v>6.12</v>
      </c>
      <c r="L30" s="22"/>
      <c r="M30" s="22"/>
      <c r="N30" s="22"/>
      <c r="O30" s="22"/>
    </row>
    <row r="31" spans="1:16" x14ac:dyDescent="0.2">
      <c r="A31" s="19">
        <v>6</v>
      </c>
      <c r="B31" s="19">
        <v>20</v>
      </c>
      <c r="C31" s="19">
        <v>15</v>
      </c>
      <c r="D31" s="19">
        <v>7.68</v>
      </c>
      <c r="E31" s="19"/>
      <c r="F31" s="112">
        <v>13.55</v>
      </c>
      <c r="G31" s="112"/>
      <c r="H31" s="19">
        <v>20</v>
      </c>
      <c r="I31" s="19">
        <v>15</v>
      </c>
      <c r="J31" s="19">
        <v>5.07</v>
      </c>
      <c r="K31" s="112">
        <v>9.66</v>
      </c>
      <c r="L31" s="22"/>
      <c r="M31" s="22"/>
      <c r="N31" s="22"/>
      <c r="O31" s="22"/>
    </row>
  </sheetData>
  <mergeCells count="15">
    <mergeCell ref="L1:M1"/>
    <mergeCell ref="N1:O1"/>
    <mergeCell ref="B1:E1"/>
    <mergeCell ref="F1:G1"/>
    <mergeCell ref="H1:J1"/>
    <mergeCell ref="B12:E12"/>
    <mergeCell ref="F12:G12"/>
    <mergeCell ref="H12:J12"/>
    <mergeCell ref="L12:M12"/>
    <mergeCell ref="N12:O12"/>
    <mergeCell ref="B23:E23"/>
    <mergeCell ref="F23:G23"/>
    <mergeCell ref="H23:J23"/>
    <mergeCell ref="L23:M23"/>
    <mergeCell ref="N23:O2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23"/>
  <sheetViews>
    <sheetView workbookViewId="0">
      <selection activeCell="D19" sqref="D19"/>
    </sheetView>
  </sheetViews>
  <sheetFormatPr defaultColWidth="9.125" defaultRowHeight="14.25" x14ac:dyDescent="0.2"/>
  <cols>
    <col min="1" max="1" width="9.125" style="22"/>
    <col min="2" max="2" width="14.75" style="22" customWidth="1"/>
    <col min="3" max="3" width="37.75" style="22" bestFit="1" customWidth="1"/>
    <col min="4" max="4" width="57.25" style="4" bestFit="1" customWidth="1"/>
    <col min="5" max="5" width="16.125" style="125" customWidth="1"/>
    <col min="6" max="16384" width="9.125" style="22"/>
  </cols>
  <sheetData>
    <row r="1" spans="1:5" ht="15" x14ac:dyDescent="0.2">
      <c r="A1" s="96" t="s">
        <v>519</v>
      </c>
      <c r="B1" s="96" t="s">
        <v>84</v>
      </c>
      <c r="C1" s="96" t="s">
        <v>85</v>
      </c>
      <c r="D1" s="96" t="s">
        <v>72</v>
      </c>
      <c r="E1" s="124" t="s">
        <v>520</v>
      </c>
    </row>
    <row r="2" spans="1:5" x14ac:dyDescent="0.2">
      <c r="A2" s="22">
        <v>1</v>
      </c>
      <c r="B2" s="42" t="s">
        <v>311</v>
      </c>
      <c r="C2" s="42" t="s">
        <v>312</v>
      </c>
      <c r="D2" s="1" t="s">
        <v>315</v>
      </c>
      <c r="E2" s="125" t="s">
        <v>521</v>
      </c>
    </row>
    <row r="3" spans="1:5" x14ac:dyDescent="0.2">
      <c r="A3" s="22">
        <v>2</v>
      </c>
      <c r="B3" s="42" t="s">
        <v>86</v>
      </c>
      <c r="C3" s="42" t="s">
        <v>90</v>
      </c>
      <c r="D3" s="1"/>
    </row>
    <row r="4" spans="1:5" x14ac:dyDescent="0.2">
      <c r="A4" s="22">
        <v>4</v>
      </c>
      <c r="B4" s="42" t="s">
        <v>288</v>
      </c>
      <c r="C4" s="42" t="s">
        <v>289</v>
      </c>
      <c r="D4" s="97" t="s">
        <v>290</v>
      </c>
    </row>
    <row r="5" spans="1:5" x14ac:dyDescent="0.2">
      <c r="A5" s="22">
        <v>8</v>
      </c>
      <c r="B5" s="42" t="s">
        <v>291</v>
      </c>
      <c r="C5" s="42" t="s">
        <v>292</v>
      </c>
      <c r="D5" s="97" t="s">
        <v>293</v>
      </c>
    </row>
    <row r="6" spans="1:5" ht="28.5" x14ac:dyDescent="0.2">
      <c r="A6" s="126">
        <v>16</v>
      </c>
      <c r="B6" s="98" t="s">
        <v>507</v>
      </c>
      <c r="C6" s="98" t="s">
        <v>508</v>
      </c>
      <c r="D6" s="127" t="s">
        <v>509</v>
      </c>
    </row>
    <row r="7" spans="1:5" ht="28.5" x14ac:dyDescent="0.2">
      <c r="A7" s="22">
        <v>32</v>
      </c>
      <c r="B7" s="98" t="s">
        <v>159</v>
      </c>
      <c r="C7" s="42" t="s">
        <v>309</v>
      </c>
      <c r="D7" s="97" t="s">
        <v>310</v>
      </c>
    </row>
    <row r="8" spans="1:5" x14ac:dyDescent="0.2">
      <c r="A8" s="128">
        <v>64</v>
      </c>
      <c r="B8" s="129" t="s">
        <v>160</v>
      </c>
      <c r="C8" s="129" t="s">
        <v>161</v>
      </c>
      <c r="D8" s="130" t="s">
        <v>522</v>
      </c>
      <c r="E8" s="131" t="s">
        <v>523</v>
      </c>
    </row>
    <row r="9" spans="1:5" x14ac:dyDescent="0.2">
      <c r="A9" s="22">
        <v>128</v>
      </c>
      <c r="B9" s="98" t="s">
        <v>183</v>
      </c>
      <c r="C9" s="42" t="s">
        <v>184</v>
      </c>
      <c r="D9" s="1" t="s">
        <v>185</v>
      </c>
    </row>
    <row r="10" spans="1:5" x14ac:dyDescent="0.2">
      <c r="A10" s="22">
        <v>256</v>
      </c>
      <c r="B10" s="98" t="s">
        <v>191</v>
      </c>
      <c r="C10" s="42" t="s">
        <v>192</v>
      </c>
      <c r="D10" s="97" t="s">
        <v>190</v>
      </c>
    </row>
    <row r="11" spans="1:5" x14ac:dyDescent="0.2">
      <c r="A11" s="22">
        <v>512</v>
      </c>
      <c r="B11" s="42" t="s">
        <v>313</v>
      </c>
      <c r="C11" s="42" t="s">
        <v>314</v>
      </c>
      <c r="D11" s="1" t="s">
        <v>316</v>
      </c>
      <c r="E11" s="125" t="s">
        <v>521</v>
      </c>
    </row>
    <row r="12" spans="1:5" ht="28.5" x14ac:dyDescent="0.2">
      <c r="A12" s="22">
        <v>1024</v>
      </c>
      <c r="B12" s="42" t="s">
        <v>505</v>
      </c>
      <c r="C12" s="42" t="s">
        <v>506</v>
      </c>
      <c r="D12" s="97" t="s">
        <v>524</v>
      </c>
    </row>
    <row r="13" spans="1:5" x14ac:dyDescent="0.2">
      <c r="A13" s="22">
        <v>2048</v>
      </c>
      <c r="B13" s="42" t="s">
        <v>501</v>
      </c>
      <c r="C13" s="42" t="s">
        <v>502</v>
      </c>
      <c r="D13" s="97" t="s">
        <v>503</v>
      </c>
    </row>
    <row r="14" spans="1:5" x14ac:dyDescent="0.2">
      <c r="A14" s="22">
        <v>4096</v>
      </c>
      <c r="B14" s="98" t="s">
        <v>511</v>
      </c>
      <c r="C14" s="42" t="s">
        <v>510</v>
      </c>
      <c r="D14" s="99" t="s">
        <v>512</v>
      </c>
      <c r="E14" s="125" t="s">
        <v>521</v>
      </c>
    </row>
    <row r="15" spans="1:5" x14ac:dyDescent="0.2">
      <c r="A15" s="22">
        <v>8192</v>
      </c>
      <c r="B15" s="98" t="s">
        <v>525</v>
      </c>
      <c r="C15" s="42" t="s">
        <v>526</v>
      </c>
      <c r="D15" s="99" t="s">
        <v>527</v>
      </c>
    </row>
    <row r="16" spans="1:5" x14ac:dyDescent="0.2">
      <c r="B16" s="98"/>
      <c r="C16" s="42"/>
      <c r="D16" s="99"/>
    </row>
    <row r="17" spans="2:4" x14ac:dyDescent="0.2">
      <c r="B17" s="98"/>
      <c r="C17" s="42"/>
      <c r="D17" s="99"/>
    </row>
    <row r="18" spans="2:4" x14ac:dyDescent="0.2">
      <c r="B18" s="98"/>
      <c r="C18" s="42"/>
      <c r="D18" s="99"/>
    </row>
    <row r="19" spans="2:4" x14ac:dyDescent="0.2">
      <c r="B19" s="98"/>
      <c r="C19" s="42"/>
      <c r="D19" s="1"/>
    </row>
    <row r="20" spans="2:4" x14ac:dyDescent="0.2">
      <c r="B20" s="98"/>
      <c r="C20" s="42"/>
      <c r="D20" s="1"/>
    </row>
    <row r="21" spans="2:4" x14ac:dyDescent="0.2">
      <c r="B21" s="98"/>
      <c r="C21" s="42"/>
      <c r="D21" s="1"/>
    </row>
    <row r="22" spans="2:4" x14ac:dyDescent="0.2">
      <c r="B22" s="98"/>
      <c r="C22" s="42"/>
      <c r="D22" s="1"/>
    </row>
    <row r="23" spans="2:4" x14ac:dyDescent="0.2">
      <c r="B23" s="98"/>
      <c r="C23" s="42"/>
      <c r="D23" s="1"/>
    </row>
  </sheetData>
  <pageMargins left="0.7" right="0.7" top="0.75" bottom="0.75" header="0.3" footer="0.3"/>
  <pageSetup paperSize="9"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Z210"/>
  <sheetViews>
    <sheetView topLeftCell="A10" workbookViewId="0">
      <selection activeCell="A22" sqref="A22:XFD22"/>
    </sheetView>
  </sheetViews>
  <sheetFormatPr defaultColWidth="9.125" defaultRowHeight="14.25" x14ac:dyDescent="0.2"/>
  <cols>
    <col min="1" max="1" width="9.125" style="6"/>
    <col min="2" max="2" width="40.125" style="10" bestFit="1" customWidth="1"/>
    <col min="3" max="4" width="11.75" style="22" customWidth="1"/>
    <col min="5" max="54" width="6.75" style="6" customWidth="1"/>
    <col min="55" max="16384" width="9.125" style="6"/>
  </cols>
  <sheetData>
    <row r="1" spans="1:78" s="22" customFormat="1" ht="31.5" customHeight="1" x14ac:dyDescent="0.2">
      <c r="B1" s="114" t="s">
        <v>62</v>
      </c>
      <c r="C1" s="148" t="s">
        <v>31</v>
      </c>
      <c r="D1" s="148"/>
      <c r="E1" s="144" t="s">
        <v>32</v>
      </c>
      <c r="F1" s="144"/>
      <c r="G1" s="144"/>
      <c r="H1" s="144"/>
      <c r="I1" s="144"/>
      <c r="J1" s="144"/>
      <c r="K1" s="144"/>
      <c r="L1" s="144"/>
      <c r="M1" s="144"/>
      <c r="N1" s="144"/>
      <c r="O1" s="144"/>
      <c r="P1" s="144"/>
      <c r="Q1" s="144"/>
      <c r="R1" s="144"/>
      <c r="S1" s="144"/>
      <c r="T1" s="144"/>
    </row>
    <row r="2" spans="1:78" s="22" customFormat="1" ht="15" x14ac:dyDescent="0.2">
      <c r="C2" s="40"/>
      <c r="D2" s="40"/>
      <c r="E2" s="41"/>
      <c r="F2" s="41"/>
      <c r="G2" s="41"/>
      <c r="H2" s="41"/>
      <c r="I2" s="41"/>
      <c r="J2" s="41"/>
      <c r="K2" s="41"/>
      <c r="L2" s="41"/>
      <c r="M2" s="42"/>
      <c r="N2" s="42"/>
      <c r="O2" s="42"/>
      <c r="P2" s="42"/>
      <c r="Q2" s="42"/>
      <c r="R2" s="42"/>
      <c r="S2" s="42"/>
      <c r="T2" s="42"/>
    </row>
    <row r="3" spans="1:78" s="47" customFormat="1" ht="15" x14ac:dyDescent="0.2">
      <c r="A3" s="43"/>
      <c r="B3" s="44" t="s">
        <v>199</v>
      </c>
      <c r="C3" s="45"/>
      <c r="D3" s="45"/>
      <c r="E3" s="46">
        <v>1</v>
      </c>
      <c r="F3" s="46">
        <v>2</v>
      </c>
      <c r="G3" s="46">
        <v>3</v>
      </c>
      <c r="H3" s="46">
        <v>4</v>
      </c>
      <c r="I3" s="46">
        <v>5</v>
      </c>
      <c r="J3" s="46">
        <v>6</v>
      </c>
      <c r="K3" s="46">
        <v>7</v>
      </c>
      <c r="L3" s="46">
        <v>8</v>
      </c>
      <c r="M3" s="46">
        <v>9</v>
      </c>
      <c r="N3" s="46">
        <v>10</v>
      </c>
      <c r="O3" s="46">
        <v>11</v>
      </c>
      <c r="P3" s="46">
        <v>12</v>
      </c>
      <c r="Q3" s="46">
        <v>13</v>
      </c>
      <c r="R3" s="46">
        <v>14</v>
      </c>
      <c r="S3" s="46">
        <v>15</v>
      </c>
      <c r="T3" s="46">
        <v>16</v>
      </c>
      <c r="U3" s="46">
        <v>17</v>
      </c>
      <c r="V3" s="46">
        <v>18</v>
      </c>
      <c r="W3" s="46">
        <v>19</v>
      </c>
      <c r="X3" s="46">
        <v>20</v>
      </c>
      <c r="Y3" s="46">
        <v>21</v>
      </c>
      <c r="Z3" s="46">
        <v>22</v>
      </c>
      <c r="AA3" s="46">
        <v>23</v>
      </c>
      <c r="AB3" s="46">
        <v>24</v>
      </c>
      <c r="AC3" s="46">
        <v>25</v>
      </c>
      <c r="AD3" s="46">
        <v>26</v>
      </c>
      <c r="AE3" s="46">
        <v>27</v>
      </c>
      <c r="AF3" s="46">
        <v>28</v>
      </c>
      <c r="AG3" s="46">
        <v>29</v>
      </c>
      <c r="AH3" s="46">
        <v>30</v>
      </c>
      <c r="AI3" s="46">
        <v>31</v>
      </c>
      <c r="AJ3" s="46">
        <v>32</v>
      </c>
      <c r="AK3" s="46">
        <v>33</v>
      </c>
      <c r="AL3" s="46">
        <v>34</v>
      </c>
      <c r="AM3" s="46">
        <v>35</v>
      </c>
      <c r="AN3" s="46">
        <v>36</v>
      </c>
      <c r="AO3" s="46">
        <v>37</v>
      </c>
      <c r="AP3" s="46">
        <v>38</v>
      </c>
      <c r="AQ3" s="46">
        <v>39</v>
      </c>
      <c r="AR3" s="46">
        <v>40</v>
      </c>
      <c r="AS3" s="46">
        <v>41</v>
      </c>
      <c r="AT3" s="46">
        <v>42</v>
      </c>
      <c r="AU3" s="46">
        <v>43</v>
      </c>
      <c r="AV3" s="46">
        <v>44</v>
      </c>
      <c r="AW3" s="46">
        <v>45</v>
      </c>
      <c r="AX3" s="46">
        <v>46</v>
      </c>
      <c r="AY3" s="46">
        <v>47</v>
      </c>
      <c r="AZ3" s="46">
        <v>48</v>
      </c>
      <c r="BA3" s="46">
        <v>49</v>
      </c>
      <c r="BB3" s="46">
        <v>50</v>
      </c>
      <c r="BC3" s="46">
        <v>51</v>
      </c>
      <c r="BD3" s="46">
        <v>52</v>
      </c>
      <c r="BE3" s="46">
        <v>53</v>
      </c>
      <c r="BF3" s="46">
        <v>54</v>
      </c>
      <c r="BG3" s="46">
        <v>55</v>
      </c>
      <c r="BH3" s="46">
        <v>56</v>
      </c>
      <c r="BI3" s="46">
        <v>57</v>
      </c>
      <c r="BJ3" s="46">
        <v>58</v>
      </c>
      <c r="BK3" s="46">
        <v>59</v>
      </c>
      <c r="BL3" s="46">
        <v>60</v>
      </c>
      <c r="BM3" s="46">
        <v>61</v>
      </c>
      <c r="BN3" s="46">
        <v>62</v>
      </c>
      <c r="BO3" s="46">
        <v>63</v>
      </c>
      <c r="BP3" s="46">
        <v>64</v>
      </c>
    </row>
    <row r="4" spans="1:78" s="4" customFormat="1" x14ac:dyDescent="0.2">
      <c r="A4" s="43"/>
      <c r="B4" s="48" t="s">
        <v>204</v>
      </c>
      <c r="C4" s="49"/>
      <c r="D4" s="49"/>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row>
    <row r="5" spans="1:78" s="4" customFormat="1" x14ac:dyDescent="0.2">
      <c r="A5" s="43"/>
      <c r="B5" s="48" t="s">
        <v>273</v>
      </c>
      <c r="C5" s="49"/>
      <c r="D5" s="49"/>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row>
    <row r="6" spans="1:78" s="4" customFormat="1" x14ac:dyDescent="0.2">
      <c r="A6" s="43"/>
      <c r="B6" s="48" t="s">
        <v>274</v>
      </c>
      <c r="C6" s="49"/>
      <c r="D6" s="49"/>
      <c r="E6" s="50"/>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row>
    <row r="7" spans="1:78" s="4" customFormat="1" x14ac:dyDescent="0.2">
      <c r="A7" s="43"/>
      <c r="B7" s="52"/>
      <c r="C7" s="49"/>
      <c r="D7" s="49"/>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1"/>
      <c r="BD7" s="51"/>
      <c r="BE7" s="51"/>
      <c r="BF7" s="51"/>
      <c r="BG7" s="51"/>
      <c r="BH7" s="51"/>
      <c r="BI7" s="51"/>
      <c r="BJ7" s="51"/>
      <c r="BK7" s="51"/>
      <c r="BL7" s="51"/>
    </row>
    <row r="8" spans="1:78" s="47" customFormat="1" ht="15" x14ac:dyDescent="0.2">
      <c r="A8" s="43"/>
      <c r="B8" s="44" t="s">
        <v>200</v>
      </c>
      <c r="C8" s="45"/>
      <c r="D8" s="45"/>
      <c r="E8" s="46">
        <v>1</v>
      </c>
      <c r="F8" s="46">
        <v>2</v>
      </c>
      <c r="G8" s="46">
        <v>3</v>
      </c>
      <c r="H8" s="46">
        <v>4</v>
      </c>
      <c r="I8" s="46">
        <v>5</v>
      </c>
      <c r="J8" s="46">
        <v>6</v>
      </c>
      <c r="K8" s="46">
        <v>7</v>
      </c>
      <c r="L8" s="46">
        <v>8</v>
      </c>
      <c r="M8" s="46">
        <v>9</v>
      </c>
      <c r="N8" s="46">
        <v>10</v>
      </c>
      <c r="O8" s="46">
        <v>11</v>
      </c>
      <c r="P8" s="46">
        <v>12</v>
      </c>
      <c r="Q8" s="46">
        <v>13</v>
      </c>
      <c r="R8" s="46">
        <v>14</v>
      </c>
      <c r="S8" s="46">
        <v>15</v>
      </c>
      <c r="T8" s="46">
        <v>16</v>
      </c>
      <c r="U8" s="46">
        <v>17</v>
      </c>
      <c r="V8" s="46">
        <v>18</v>
      </c>
      <c r="W8" s="46">
        <v>19</v>
      </c>
      <c r="X8" s="46">
        <v>20</v>
      </c>
      <c r="Y8" s="46">
        <v>21</v>
      </c>
      <c r="Z8" s="46">
        <v>22</v>
      </c>
      <c r="AA8" s="46">
        <v>23</v>
      </c>
      <c r="AB8" s="46">
        <v>24</v>
      </c>
      <c r="AC8" s="46">
        <v>25</v>
      </c>
      <c r="AD8" s="46">
        <v>26</v>
      </c>
      <c r="AE8" s="46">
        <v>27</v>
      </c>
      <c r="AF8" s="46">
        <v>28</v>
      </c>
      <c r="AG8" s="46">
        <v>29</v>
      </c>
      <c r="AH8" s="46">
        <v>30</v>
      </c>
      <c r="AI8" s="46">
        <v>31</v>
      </c>
      <c r="AJ8" s="46">
        <v>32</v>
      </c>
      <c r="AK8" s="46">
        <v>33</v>
      </c>
      <c r="AL8" s="46">
        <v>34</v>
      </c>
      <c r="AM8" s="46">
        <v>35</v>
      </c>
      <c r="AN8" s="46">
        <v>36</v>
      </c>
      <c r="AO8" s="46">
        <v>37</v>
      </c>
      <c r="AP8" s="46">
        <v>38</v>
      </c>
      <c r="AQ8" s="46">
        <v>39</v>
      </c>
      <c r="AR8" s="46">
        <v>40</v>
      </c>
      <c r="AS8" s="46">
        <v>41</v>
      </c>
      <c r="AT8" s="46">
        <v>42</v>
      </c>
      <c r="AU8" s="46">
        <v>43</v>
      </c>
      <c r="AV8" s="46">
        <v>44</v>
      </c>
      <c r="AW8" s="46">
        <v>45</v>
      </c>
      <c r="AX8" s="46">
        <v>46</v>
      </c>
      <c r="AY8" s="46">
        <v>47</v>
      </c>
      <c r="AZ8" s="46">
        <v>48</v>
      </c>
      <c r="BA8" s="46">
        <v>49</v>
      </c>
      <c r="BB8" s="46">
        <v>50</v>
      </c>
      <c r="BC8" s="46">
        <v>51</v>
      </c>
      <c r="BD8" s="46">
        <v>52</v>
      </c>
      <c r="BE8" s="46">
        <v>53</v>
      </c>
      <c r="BF8" s="46">
        <v>54</v>
      </c>
      <c r="BG8" s="46">
        <v>55</v>
      </c>
      <c r="BH8" s="46">
        <v>56</v>
      </c>
      <c r="BI8" s="46">
        <v>57</v>
      </c>
      <c r="BJ8" s="46">
        <v>58</v>
      </c>
      <c r="BK8" s="46">
        <v>59</v>
      </c>
      <c r="BL8" s="46">
        <v>60</v>
      </c>
      <c r="BM8" s="46">
        <v>61</v>
      </c>
      <c r="BN8" s="46">
        <v>62</v>
      </c>
      <c r="BO8" s="46">
        <v>63</v>
      </c>
      <c r="BP8" s="46">
        <v>64</v>
      </c>
    </row>
    <row r="9" spans="1:78" s="4" customFormat="1" x14ac:dyDescent="0.2">
      <c r="A9" s="43"/>
      <c r="B9" s="48" t="s">
        <v>204</v>
      </c>
      <c r="C9" s="49"/>
      <c r="D9" s="49"/>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row>
    <row r="10" spans="1:78" s="4" customFormat="1" x14ac:dyDescent="0.2">
      <c r="A10" s="43"/>
      <c r="B10" s="48" t="s">
        <v>273</v>
      </c>
      <c r="C10" s="49"/>
      <c r="D10" s="49"/>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row>
    <row r="11" spans="1:78" s="4" customFormat="1" x14ac:dyDescent="0.2">
      <c r="A11" s="43"/>
      <c r="B11" s="48" t="s">
        <v>274</v>
      </c>
      <c r="C11" s="49"/>
      <c r="D11" s="49"/>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spans="1:78" s="43" customFormat="1" x14ac:dyDescent="0.2">
      <c r="B12" s="54"/>
      <c r="C12" s="55"/>
      <c r="D12" s="55"/>
    </row>
    <row r="13" spans="1:78" s="43" customFormat="1" x14ac:dyDescent="0.2">
      <c r="B13" s="56" t="s">
        <v>20</v>
      </c>
      <c r="C13" s="49"/>
      <c r="D13" s="49"/>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49"/>
      <c r="BN13" s="49"/>
      <c r="BO13" s="49"/>
      <c r="BP13" s="49"/>
      <c r="BQ13" s="49"/>
      <c r="BR13" s="49"/>
      <c r="BS13" s="49"/>
      <c r="BT13" s="49"/>
      <c r="BU13" s="49"/>
      <c r="BV13" s="49"/>
      <c r="BW13" s="49"/>
      <c r="BX13" s="49"/>
      <c r="BY13" s="49"/>
      <c r="BZ13" s="49"/>
    </row>
    <row r="14" spans="1:78" s="43" customFormat="1" x14ac:dyDescent="0.2">
      <c r="B14" s="56" t="s">
        <v>198</v>
      </c>
      <c r="C14" s="49"/>
      <c r="D14" s="49"/>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49"/>
      <c r="BN14" s="49"/>
      <c r="BO14" s="49"/>
      <c r="BP14" s="49"/>
      <c r="BQ14" s="49"/>
      <c r="BR14" s="49"/>
      <c r="BS14" s="49"/>
      <c r="BT14" s="49"/>
      <c r="BU14" s="49"/>
      <c r="BV14" s="49"/>
      <c r="BW14" s="49"/>
      <c r="BX14" s="49"/>
      <c r="BY14" s="49"/>
      <c r="BZ14" s="49"/>
    </row>
    <row r="15" spans="1:78" x14ac:dyDescent="0.2">
      <c r="A15" s="43"/>
      <c r="B15" s="56" t="s">
        <v>0</v>
      </c>
      <c r="C15" s="58"/>
      <c r="D15" s="58"/>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22"/>
      <c r="BN15" s="22"/>
      <c r="BO15" s="22"/>
      <c r="BP15" s="22"/>
      <c r="BQ15" s="22"/>
      <c r="BR15" s="22"/>
      <c r="BS15" s="22"/>
      <c r="BT15" s="22"/>
      <c r="BU15" s="22"/>
      <c r="BV15" s="22"/>
      <c r="BW15" s="22"/>
      <c r="BX15" s="22"/>
      <c r="BY15" s="22"/>
      <c r="BZ15" s="22"/>
    </row>
    <row r="16" spans="1:78" x14ac:dyDescent="0.2">
      <c r="A16" s="43"/>
      <c r="B16" s="56" t="s">
        <v>30</v>
      </c>
      <c r="C16" s="58"/>
      <c r="D16" s="58"/>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22"/>
      <c r="BN16" s="22"/>
      <c r="BO16" s="22"/>
      <c r="BP16" s="22"/>
      <c r="BQ16" s="22"/>
      <c r="BR16" s="22"/>
      <c r="BS16" s="22"/>
      <c r="BT16" s="22"/>
      <c r="BU16" s="22"/>
      <c r="BV16" s="22"/>
      <c r="BW16" s="22"/>
      <c r="BX16" s="22"/>
      <c r="BY16" s="22"/>
      <c r="BZ16" s="22"/>
    </row>
    <row r="17" spans="1:78" x14ac:dyDescent="0.2">
      <c r="A17" s="43"/>
      <c r="B17" s="56" t="s">
        <v>197</v>
      </c>
      <c r="C17" s="58"/>
      <c r="D17" s="58"/>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22"/>
      <c r="BN17" s="22"/>
      <c r="BO17" s="22"/>
      <c r="BP17" s="22"/>
      <c r="BQ17" s="22"/>
      <c r="BR17" s="22"/>
      <c r="BS17" s="22"/>
      <c r="BT17" s="22"/>
      <c r="BU17" s="22"/>
      <c r="BV17" s="22"/>
      <c r="BW17" s="22"/>
      <c r="BX17" s="22"/>
      <c r="BY17" s="22"/>
      <c r="BZ17" s="22"/>
    </row>
    <row r="18" spans="1:78" x14ac:dyDescent="0.2">
      <c r="A18" s="55"/>
      <c r="B18" s="56" t="s">
        <v>515</v>
      </c>
      <c r="C18" s="58"/>
      <c r="D18" s="58"/>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3"/>
      <c r="AG18" s="123"/>
      <c r="AH18" s="123"/>
      <c r="AI18" s="123"/>
      <c r="AJ18" s="123"/>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22"/>
      <c r="BN18" s="22"/>
      <c r="BO18" s="22"/>
      <c r="BP18" s="22"/>
      <c r="BQ18" s="22"/>
      <c r="BR18" s="22"/>
      <c r="BS18" s="22"/>
      <c r="BT18" s="22"/>
      <c r="BU18" s="22"/>
      <c r="BV18" s="22"/>
      <c r="BW18" s="22"/>
      <c r="BX18" s="22"/>
      <c r="BY18" s="22"/>
      <c r="BZ18" s="22"/>
    </row>
    <row r="19" spans="1:78" s="43" customFormat="1" ht="15" x14ac:dyDescent="0.2">
      <c r="B19" s="41" t="str">
        <f>CONCATENATE('XML File Parameters'!D2," XMLver",'XML File Parameters'!D3,".",'XML File Parameters'!D4)</f>
        <v>MHR XMLver5.15</v>
      </c>
      <c r="C19" s="55"/>
      <c r="D19" s="55"/>
      <c r="E19" s="59" t="s">
        <v>201</v>
      </c>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row>
    <row r="20" spans="1:78" x14ac:dyDescent="0.2">
      <c r="B20" s="61" t="s">
        <v>28</v>
      </c>
      <c r="C20" s="62"/>
      <c r="D20" s="62"/>
      <c r="F20" s="43"/>
      <c r="G20" s="43"/>
      <c r="H20" s="43"/>
      <c r="I20" s="43"/>
      <c r="J20" s="43"/>
      <c r="K20" s="43"/>
      <c r="L20" s="43"/>
      <c r="M20" s="43"/>
      <c r="N20" s="43"/>
      <c r="O20" s="43"/>
      <c r="P20" s="43"/>
      <c r="Q20" s="43"/>
      <c r="R20" s="43"/>
      <c r="S20" s="43"/>
    </row>
    <row r="21" spans="1:78" x14ac:dyDescent="0.2">
      <c r="B21" s="103" t="s">
        <v>490</v>
      </c>
      <c r="C21" s="64"/>
      <c r="D21" s="64"/>
      <c r="F21" s="43"/>
      <c r="G21" s="43"/>
      <c r="H21" s="43"/>
      <c r="I21" s="43"/>
      <c r="J21" s="43"/>
      <c r="K21" s="43"/>
      <c r="L21" s="43"/>
      <c r="M21" s="43"/>
      <c r="N21" s="43"/>
      <c r="O21" s="43"/>
      <c r="P21" s="43"/>
      <c r="Q21" s="43"/>
      <c r="R21" s="43"/>
      <c r="S21" s="43"/>
    </row>
    <row r="22" spans="1:78" x14ac:dyDescent="0.2">
      <c r="B22" s="63" t="s">
        <v>267</v>
      </c>
      <c r="C22" s="64"/>
      <c r="D22" s="64"/>
      <c r="F22" s="43"/>
      <c r="G22" s="43"/>
      <c r="H22" s="43"/>
      <c r="I22" s="43"/>
      <c r="J22" s="43"/>
      <c r="K22" s="43"/>
      <c r="L22" s="43"/>
      <c r="M22" s="43"/>
      <c r="N22" s="43"/>
      <c r="O22" s="43"/>
      <c r="P22" s="43"/>
      <c r="Q22" s="43"/>
      <c r="R22" s="43"/>
      <c r="S22" s="43"/>
    </row>
    <row r="23" spans="1:78" x14ac:dyDescent="0.2">
      <c r="B23" s="63" t="s">
        <v>168</v>
      </c>
      <c r="C23" s="64"/>
      <c r="D23" s="64"/>
      <c r="E23" s="65"/>
      <c r="F23" s="43"/>
      <c r="G23" s="43"/>
      <c r="H23" s="43"/>
      <c r="I23" s="43"/>
      <c r="J23" s="43"/>
      <c r="K23" s="43"/>
      <c r="L23" s="43"/>
      <c r="M23" s="43"/>
      <c r="N23" s="43"/>
      <c r="O23" s="43"/>
      <c r="P23" s="43"/>
      <c r="Q23" s="43"/>
      <c r="R23" s="43"/>
      <c r="S23" s="43"/>
    </row>
    <row r="24" spans="1:78" x14ac:dyDescent="0.2">
      <c r="B24" s="66" t="s">
        <v>202</v>
      </c>
      <c r="C24" s="33"/>
      <c r="D24" s="33"/>
      <c r="E24" s="65"/>
      <c r="F24" s="43"/>
      <c r="G24" s="43"/>
      <c r="H24" s="43"/>
      <c r="I24" s="43"/>
      <c r="J24" s="43"/>
      <c r="K24" s="43"/>
      <c r="L24" s="43"/>
      <c r="M24" s="43"/>
      <c r="N24" s="43"/>
      <c r="O24" s="43"/>
      <c r="P24" s="43"/>
      <c r="Q24" s="43"/>
      <c r="R24" s="43"/>
      <c r="S24" s="43"/>
    </row>
    <row r="25" spans="1:78" x14ac:dyDescent="0.2">
      <c r="B25" s="66" t="s">
        <v>205</v>
      </c>
      <c r="C25" s="33"/>
      <c r="D25" s="33"/>
      <c r="E25" s="65"/>
      <c r="F25" s="43"/>
      <c r="G25" s="43"/>
      <c r="H25" s="43"/>
      <c r="I25" s="43"/>
      <c r="J25" s="43"/>
      <c r="K25" s="43"/>
      <c r="L25" s="43"/>
      <c r="M25" s="43"/>
      <c r="N25" s="43"/>
      <c r="O25" s="43"/>
      <c r="P25" s="43"/>
      <c r="Q25" s="43"/>
      <c r="R25" s="43"/>
      <c r="S25" s="43"/>
    </row>
    <row r="26" spans="1:78" x14ac:dyDescent="0.2">
      <c r="B26" s="66" t="s">
        <v>24</v>
      </c>
      <c r="C26" s="33"/>
      <c r="D26" s="33"/>
      <c r="E26" s="65"/>
      <c r="F26" s="43"/>
      <c r="G26" s="43"/>
      <c r="H26" s="43"/>
      <c r="I26" s="43"/>
      <c r="J26" s="43"/>
      <c r="K26" s="43"/>
      <c r="L26" s="43"/>
      <c r="M26" s="43"/>
      <c r="N26" s="43"/>
      <c r="O26" s="43"/>
      <c r="P26" s="43"/>
      <c r="Q26" s="43"/>
      <c r="R26" s="43"/>
      <c r="S26" s="43"/>
    </row>
    <row r="27" spans="1:78" x14ac:dyDescent="0.2">
      <c r="B27" s="66" t="s">
        <v>22</v>
      </c>
      <c r="C27" s="33"/>
      <c r="D27" s="33"/>
      <c r="E27" s="65"/>
      <c r="F27" s="43"/>
      <c r="G27" s="43"/>
      <c r="H27" s="43"/>
      <c r="I27" s="43"/>
      <c r="J27" s="43"/>
      <c r="K27" s="43"/>
      <c r="L27" s="43"/>
      <c r="M27" s="43"/>
      <c r="N27" s="43"/>
      <c r="O27" s="43"/>
      <c r="P27" s="43"/>
      <c r="Q27" s="43"/>
      <c r="R27" s="43"/>
      <c r="S27" s="43"/>
    </row>
    <row r="28" spans="1:78" x14ac:dyDescent="0.2">
      <c r="B28" s="66" t="s">
        <v>23</v>
      </c>
      <c r="C28" s="33"/>
      <c r="D28" s="33"/>
      <c r="E28" s="65"/>
      <c r="F28" s="43"/>
      <c r="G28" s="43"/>
      <c r="H28" s="43"/>
      <c r="I28" s="43"/>
      <c r="J28" s="43"/>
      <c r="K28" s="43"/>
      <c r="L28" s="43"/>
      <c r="M28" s="43"/>
      <c r="N28" s="43"/>
      <c r="O28" s="43"/>
      <c r="P28" s="43"/>
      <c r="Q28" s="43"/>
      <c r="R28" s="43"/>
      <c r="S28" s="43"/>
    </row>
    <row r="29" spans="1:78" x14ac:dyDescent="0.2">
      <c r="B29" s="63" t="s">
        <v>234</v>
      </c>
      <c r="C29" s="64"/>
      <c r="D29" s="64"/>
      <c r="F29" s="43"/>
      <c r="G29" s="43"/>
      <c r="H29" s="43"/>
      <c r="I29" s="43"/>
      <c r="J29" s="43"/>
      <c r="K29" s="43"/>
      <c r="L29" s="43"/>
      <c r="M29" s="43"/>
      <c r="N29" s="43"/>
      <c r="O29" s="43"/>
      <c r="P29" s="43"/>
      <c r="Q29" s="43"/>
      <c r="R29" s="43"/>
      <c r="S29" s="43"/>
    </row>
    <row r="30" spans="1:78" x14ac:dyDescent="0.2">
      <c r="B30" s="66" t="s">
        <v>235</v>
      </c>
      <c r="C30" s="33"/>
      <c r="D30" s="33"/>
      <c r="F30" s="43"/>
      <c r="G30" s="43"/>
      <c r="H30" s="43"/>
      <c r="I30" s="43"/>
      <c r="J30" s="43"/>
      <c r="K30" s="43"/>
      <c r="L30" s="43"/>
      <c r="M30" s="43"/>
      <c r="N30" s="43"/>
      <c r="O30" s="43"/>
      <c r="P30" s="43"/>
      <c r="Q30" s="43"/>
      <c r="R30" s="43"/>
      <c r="S30" s="43"/>
    </row>
    <row r="31" spans="1:78" x14ac:dyDescent="0.2">
      <c r="B31" s="63" t="s">
        <v>499</v>
      </c>
      <c r="C31" s="64"/>
      <c r="D31" s="64"/>
      <c r="E31" s="65"/>
      <c r="F31" s="43"/>
      <c r="G31" s="43"/>
      <c r="H31" s="43"/>
      <c r="I31" s="43"/>
      <c r="J31" s="43"/>
      <c r="K31" s="43"/>
      <c r="L31" s="43"/>
      <c r="M31" s="43"/>
      <c r="N31" s="43"/>
      <c r="O31" s="43"/>
      <c r="P31" s="43"/>
      <c r="Q31" s="43"/>
      <c r="R31" s="43"/>
      <c r="S31" s="43"/>
    </row>
    <row r="32" spans="1:78" x14ac:dyDescent="0.2">
      <c r="B32" s="63" t="s">
        <v>334</v>
      </c>
      <c r="C32" s="64"/>
      <c r="D32" s="64"/>
      <c r="F32" s="43"/>
      <c r="G32" s="43"/>
      <c r="H32" s="43"/>
      <c r="I32" s="43"/>
      <c r="J32" s="43"/>
      <c r="K32" s="43"/>
      <c r="L32" s="43"/>
      <c r="M32" s="43"/>
      <c r="N32" s="43"/>
      <c r="O32" s="43"/>
      <c r="P32" s="43"/>
      <c r="Q32" s="43"/>
      <c r="R32" s="43"/>
      <c r="S32" s="43"/>
    </row>
    <row r="33" spans="2:19" x14ac:dyDescent="0.2">
      <c r="B33" s="63" t="s">
        <v>335</v>
      </c>
      <c r="C33" s="64"/>
      <c r="D33" s="64"/>
      <c r="F33" s="43"/>
      <c r="G33" s="43"/>
      <c r="H33" s="43"/>
      <c r="I33" s="43"/>
      <c r="J33" s="43"/>
      <c r="K33" s="43"/>
      <c r="L33" s="43"/>
      <c r="M33" s="43"/>
      <c r="N33" s="43"/>
      <c r="O33" s="43"/>
      <c r="P33" s="43"/>
      <c r="Q33" s="43"/>
      <c r="R33" s="43"/>
      <c r="S33" s="43"/>
    </row>
    <row r="34" spans="2:19" x14ac:dyDescent="0.2">
      <c r="B34" s="66" t="s">
        <v>21</v>
      </c>
      <c r="C34" s="67"/>
      <c r="D34" s="67"/>
      <c r="F34" s="43"/>
      <c r="G34" s="43"/>
      <c r="H34" s="43"/>
      <c r="I34" s="43"/>
      <c r="J34" s="43"/>
      <c r="K34" s="43"/>
      <c r="L34" s="43"/>
      <c r="M34" s="43"/>
      <c r="N34" s="43"/>
      <c r="O34" s="43"/>
      <c r="P34" s="43"/>
      <c r="Q34" s="43"/>
      <c r="R34" s="43"/>
      <c r="S34" s="43"/>
    </row>
    <row r="35" spans="2:19" x14ac:dyDescent="0.2">
      <c r="B35" s="63" t="s">
        <v>223</v>
      </c>
      <c r="C35" s="64"/>
      <c r="D35" s="64"/>
      <c r="F35" s="43"/>
      <c r="G35" s="43"/>
      <c r="H35" s="43"/>
      <c r="I35" s="43"/>
      <c r="J35" s="43"/>
      <c r="K35" s="43"/>
      <c r="L35" s="43"/>
      <c r="M35" s="43"/>
      <c r="N35" s="43"/>
      <c r="O35" s="43"/>
      <c r="P35" s="43"/>
      <c r="Q35" s="43"/>
      <c r="R35" s="43"/>
      <c r="S35" s="43"/>
    </row>
    <row r="36" spans="2:19" x14ac:dyDescent="0.2">
      <c r="B36" s="66" t="s">
        <v>1</v>
      </c>
      <c r="C36" s="33"/>
      <c r="D36" s="33"/>
      <c r="F36" s="43"/>
      <c r="G36" s="43"/>
      <c r="H36" s="43"/>
      <c r="I36" s="43"/>
      <c r="J36" s="43"/>
      <c r="K36" s="43"/>
      <c r="L36" s="43"/>
      <c r="M36" s="43"/>
      <c r="N36" s="43"/>
      <c r="O36" s="43"/>
      <c r="P36" s="43"/>
      <c r="Q36" s="43"/>
      <c r="R36" s="43"/>
      <c r="S36" s="43"/>
    </row>
    <row r="37" spans="2:19" x14ac:dyDescent="0.2">
      <c r="B37" s="66" t="s">
        <v>178</v>
      </c>
      <c r="C37" s="33"/>
      <c r="D37" s="33"/>
      <c r="F37" s="43"/>
      <c r="G37" s="43"/>
      <c r="H37" s="43"/>
      <c r="I37" s="43"/>
      <c r="J37" s="43"/>
      <c r="K37" s="43"/>
      <c r="L37" s="43"/>
      <c r="M37" s="43"/>
      <c r="N37" s="43"/>
      <c r="O37" s="43"/>
      <c r="P37" s="43"/>
      <c r="Q37" s="43"/>
      <c r="R37" s="43"/>
      <c r="S37" s="43"/>
    </row>
    <row r="38" spans="2:19" x14ac:dyDescent="0.2">
      <c r="B38" s="66" t="s">
        <v>236</v>
      </c>
      <c r="C38" s="67"/>
      <c r="D38" s="67"/>
      <c r="F38" s="43"/>
      <c r="G38" s="43"/>
      <c r="H38" s="43"/>
      <c r="I38" s="43"/>
      <c r="J38" s="43"/>
      <c r="K38" s="43"/>
      <c r="L38" s="43"/>
      <c r="M38" s="43"/>
      <c r="N38" s="43"/>
      <c r="O38" s="43"/>
      <c r="P38" s="43"/>
      <c r="Q38" s="43"/>
      <c r="R38" s="43"/>
      <c r="S38" s="43"/>
    </row>
    <row r="39" spans="2:19" x14ac:dyDescent="0.2">
      <c r="B39" s="66" t="s">
        <v>344</v>
      </c>
      <c r="C39" s="67"/>
      <c r="D39" s="67"/>
      <c r="F39" s="43"/>
      <c r="G39" s="43"/>
      <c r="H39" s="43"/>
      <c r="I39" s="43"/>
      <c r="J39" s="43"/>
      <c r="K39" s="43"/>
      <c r="L39" s="43"/>
      <c r="M39" s="43"/>
      <c r="N39" s="43"/>
      <c r="O39" s="43"/>
      <c r="P39" s="43"/>
      <c r="Q39" s="43"/>
      <c r="R39" s="43"/>
      <c r="S39" s="43"/>
    </row>
    <row r="40" spans="2:19" x14ac:dyDescent="0.2">
      <c r="B40" s="63" t="s">
        <v>378</v>
      </c>
      <c r="C40" s="64"/>
      <c r="D40" s="64"/>
      <c r="F40" s="43"/>
      <c r="G40" s="43"/>
      <c r="H40" s="43"/>
      <c r="I40" s="43"/>
      <c r="J40" s="43"/>
      <c r="K40" s="43"/>
      <c r="L40" s="43"/>
      <c r="M40" s="43"/>
      <c r="N40" s="43"/>
      <c r="O40" s="43"/>
      <c r="P40" s="43"/>
      <c r="Q40" s="43"/>
      <c r="R40" s="43"/>
      <c r="S40" s="43"/>
    </row>
    <row r="41" spans="2:19" x14ac:dyDescent="0.2">
      <c r="B41" s="63" t="s">
        <v>237</v>
      </c>
      <c r="C41" s="64"/>
      <c r="D41" s="64"/>
      <c r="F41" s="43"/>
      <c r="G41" s="43"/>
      <c r="H41" s="43"/>
      <c r="I41" s="43"/>
      <c r="J41" s="43"/>
      <c r="K41" s="43"/>
      <c r="L41" s="43"/>
      <c r="M41" s="43"/>
      <c r="N41" s="43"/>
      <c r="O41" s="43"/>
      <c r="P41" s="43"/>
      <c r="Q41" s="43"/>
      <c r="R41" s="43"/>
      <c r="S41" s="43"/>
    </row>
    <row r="42" spans="2:19" x14ac:dyDescent="0.2">
      <c r="B42" s="63" t="s">
        <v>238</v>
      </c>
      <c r="C42" s="64"/>
      <c r="D42" s="64"/>
      <c r="F42" s="43"/>
      <c r="G42" s="43"/>
      <c r="H42" s="43"/>
      <c r="I42" s="43"/>
      <c r="J42" s="43"/>
      <c r="K42" s="43"/>
      <c r="L42" s="43"/>
      <c r="M42" s="43"/>
      <c r="N42" s="43"/>
      <c r="O42" s="43"/>
      <c r="P42" s="43"/>
      <c r="Q42" s="43"/>
      <c r="R42" s="43"/>
      <c r="S42" s="43"/>
    </row>
    <row r="43" spans="2:19" x14ac:dyDescent="0.2">
      <c r="B43" s="68" t="s">
        <v>239</v>
      </c>
      <c r="C43" s="67"/>
      <c r="D43" s="67"/>
      <c r="F43" s="43"/>
      <c r="G43" s="43"/>
      <c r="H43" s="43"/>
      <c r="I43" s="43"/>
      <c r="J43" s="43"/>
      <c r="K43" s="43"/>
      <c r="L43" s="43"/>
      <c r="M43" s="43"/>
      <c r="N43" s="43"/>
      <c r="O43" s="43"/>
      <c r="P43" s="43"/>
      <c r="Q43" s="43"/>
      <c r="R43" s="43"/>
      <c r="S43" s="43"/>
    </row>
    <row r="44" spans="2:19" x14ac:dyDescent="0.2">
      <c r="B44" s="68" t="s">
        <v>240</v>
      </c>
      <c r="C44" s="67"/>
      <c r="D44" s="67"/>
      <c r="F44" s="43"/>
      <c r="G44" s="43"/>
      <c r="H44" s="43"/>
      <c r="I44" s="43"/>
      <c r="J44" s="43"/>
      <c r="K44" s="43"/>
      <c r="L44" s="43"/>
      <c r="M44" s="43"/>
      <c r="N44" s="43"/>
      <c r="O44" s="43"/>
      <c r="P44" s="43"/>
      <c r="Q44" s="43"/>
      <c r="R44" s="43"/>
      <c r="S44" s="43"/>
    </row>
    <row r="45" spans="2:19" x14ac:dyDescent="0.2">
      <c r="B45" s="66" t="s">
        <v>2</v>
      </c>
      <c r="C45" s="33"/>
      <c r="D45" s="33"/>
      <c r="F45" s="43"/>
      <c r="G45" s="43"/>
      <c r="H45" s="43"/>
      <c r="I45" s="43"/>
      <c r="J45" s="43"/>
      <c r="K45" s="43"/>
      <c r="L45" s="43"/>
      <c r="M45" s="43"/>
      <c r="N45" s="43"/>
      <c r="O45" s="43"/>
      <c r="P45" s="43"/>
      <c r="Q45" s="43"/>
      <c r="R45" s="43"/>
      <c r="S45" s="43"/>
    </row>
    <row r="46" spans="2:19" x14ac:dyDescent="0.2">
      <c r="B46" s="63" t="s">
        <v>35</v>
      </c>
      <c r="C46" s="64"/>
      <c r="D46" s="64"/>
      <c r="F46" s="43"/>
      <c r="G46" s="43"/>
      <c r="H46" s="43"/>
      <c r="I46" s="43"/>
      <c r="J46" s="43"/>
      <c r="K46" s="43"/>
      <c r="L46" s="43"/>
      <c r="M46" s="43"/>
      <c r="N46" s="43"/>
      <c r="O46" s="43"/>
      <c r="P46" s="43"/>
      <c r="Q46" s="43"/>
      <c r="R46" s="43"/>
      <c r="S46" s="43"/>
    </row>
    <row r="47" spans="2:19" x14ac:dyDescent="0.2">
      <c r="B47" s="63" t="s">
        <v>89</v>
      </c>
      <c r="C47" s="64"/>
      <c r="D47" s="64"/>
      <c r="F47" s="43"/>
      <c r="G47" s="43"/>
      <c r="H47" s="43"/>
      <c r="I47" s="43"/>
      <c r="J47" s="43"/>
      <c r="K47" s="43"/>
      <c r="L47" s="43"/>
      <c r="M47" s="43"/>
      <c r="N47" s="43"/>
      <c r="O47" s="43"/>
      <c r="P47" s="43"/>
      <c r="Q47" s="43"/>
      <c r="R47" s="43"/>
      <c r="S47" s="43"/>
    </row>
    <row r="48" spans="2:19" x14ac:dyDescent="0.2">
      <c r="B48" s="63" t="s">
        <v>3</v>
      </c>
      <c r="C48" s="64"/>
      <c r="D48" s="64"/>
      <c r="F48" s="43"/>
      <c r="G48" s="43"/>
      <c r="H48" s="43"/>
      <c r="I48" s="43"/>
      <c r="J48" s="43"/>
      <c r="K48" s="43"/>
      <c r="L48" s="43"/>
      <c r="M48" s="43"/>
      <c r="N48" s="43"/>
      <c r="O48" s="43"/>
      <c r="P48" s="43"/>
      <c r="Q48" s="43"/>
      <c r="R48" s="43"/>
      <c r="S48" s="43"/>
    </row>
    <row r="49" spans="2:19" x14ac:dyDescent="0.2">
      <c r="B49" s="63" t="s">
        <v>4</v>
      </c>
      <c r="C49" s="64"/>
      <c r="D49" s="64"/>
      <c r="F49" s="43"/>
      <c r="G49" s="43"/>
      <c r="H49" s="43"/>
      <c r="I49" s="43"/>
      <c r="J49" s="43"/>
      <c r="K49" s="43"/>
      <c r="L49" s="43"/>
      <c r="M49" s="43"/>
      <c r="N49" s="43"/>
      <c r="O49" s="43"/>
      <c r="P49" s="43"/>
      <c r="Q49" s="43"/>
      <c r="R49" s="43"/>
      <c r="S49" s="43"/>
    </row>
    <row r="50" spans="2:19" x14ac:dyDescent="0.2">
      <c r="B50" s="69" t="s">
        <v>337</v>
      </c>
      <c r="C50" s="70"/>
      <c r="D50" s="70"/>
      <c r="F50" s="43"/>
      <c r="G50" s="43"/>
      <c r="H50" s="43"/>
      <c r="I50" s="43"/>
      <c r="J50" s="43"/>
      <c r="K50" s="43"/>
      <c r="L50" s="43"/>
      <c r="M50" s="43"/>
      <c r="N50" s="43"/>
      <c r="O50" s="43"/>
      <c r="P50" s="43"/>
      <c r="Q50" s="43"/>
      <c r="R50" s="43"/>
      <c r="S50" s="43"/>
    </row>
    <row r="51" spans="2:19" x14ac:dyDescent="0.2">
      <c r="B51" s="68" t="s">
        <v>169</v>
      </c>
      <c r="C51" s="33"/>
      <c r="D51" s="33"/>
      <c r="F51" s="43"/>
      <c r="G51" s="43"/>
      <c r="H51" s="43"/>
      <c r="I51" s="43"/>
      <c r="J51" s="43"/>
      <c r="K51" s="43"/>
      <c r="L51" s="43"/>
      <c r="M51" s="43"/>
      <c r="N51" s="43"/>
      <c r="O51" s="43"/>
      <c r="P51" s="43"/>
      <c r="Q51" s="43"/>
      <c r="R51" s="43"/>
      <c r="S51" s="43"/>
    </row>
    <row r="52" spans="2:19" x14ac:dyDescent="0.2">
      <c r="B52" s="68" t="s">
        <v>162</v>
      </c>
      <c r="C52" s="33"/>
      <c r="D52" s="33"/>
      <c r="F52" s="43"/>
      <c r="G52" s="43"/>
      <c r="H52" s="43"/>
      <c r="I52" s="43"/>
      <c r="J52" s="43"/>
      <c r="K52" s="43"/>
      <c r="L52" s="43"/>
      <c r="M52" s="43"/>
      <c r="N52" s="43"/>
      <c r="O52" s="43"/>
      <c r="P52" s="43"/>
      <c r="Q52" s="43"/>
      <c r="R52" s="43"/>
      <c r="S52" s="43"/>
    </row>
    <row r="53" spans="2:19" x14ac:dyDescent="0.2">
      <c r="B53" s="68" t="s">
        <v>27</v>
      </c>
      <c r="C53" s="67"/>
      <c r="D53" s="67"/>
      <c r="F53" s="43"/>
      <c r="G53" s="43"/>
      <c r="H53" s="43"/>
      <c r="I53" s="43"/>
      <c r="J53" s="43"/>
      <c r="K53" s="43"/>
      <c r="L53" s="43"/>
      <c r="M53" s="43"/>
      <c r="N53" s="43"/>
      <c r="O53" s="43"/>
      <c r="P53" s="43"/>
      <c r="Q53" s="43"/>
      <c r="R53" s="43"/>
      <c r="S53" s="43"/>
    </row>
    <row r="54" spans="2:19" x14ac:dyDescent="0.2">
      <c r="B54" s="68" t="s">
        <v>5</v>
      </c>
      <c r="C54" s="67"/>
      <c r="D54" s="67"/>
      <c r="F54" s="43"/>
      <c r="G54" s="43"/>
      <c r="H54" s="43"/>
      <c r="I54" s="43"/>
      <c r="J54" s="43"/>
      <c r="K54" s="43"/>
      <c r="L54" s="43"/>
      <c r="M54" s="43"/>
      <c r="N54" s="43"/>
      <c r="O54" s="43"/>
      <c r="P54" s="43"/>
      <c r="Q54" s="43"/>
      <c r="R54" s="43"/>
      <c r="S54" s="43"/>
    </row>
    <row r="55" spans="2:19" x14ac:dyDescent="0.2">
      <c r="B55" s="68" t="s">
        <v>7</v>
      </c>
      <c r="C55" s="67"/>
      <c r="D55" s="67"/>
      <c r="F55" s="43"/>
      <c r="G55" s="43"/>
      <c r="H55" s="43"/>
      <c r="I55" s="43"/>
      <c r="J55" s="43"/>
      <c r="K55" s="43"/>
      <c r="L55" s="43"/>
      <c r="M55" s="43"/>
      <c r="N55" s="43"/>
      <c r="O55" s="43"/>
      <c r="P55" s="43"/>
      <c r="Q55" s="43"/>
      <c r="R55" s="43"/>
      <c r="S55" s="43"/>
    </row>
    <row r="56" spans="2:19" x14ac:dyDescent="0.2">
      <c r="B56" s="71" t="s">
        <v>241</v>
      </c>
      <c r="C56" s="64"/>
      <c r="D56" s="64"/>
      <c r="F56" s="43"/>
      <c r="G56" s="43"/>
      <c r="H56" s="43"/>
      <c r="I56" s="43"/>
      <c r="J56" s="43"/>
      <c r="K56" s="43"/>
      <c r="L56" s="43"/>
      <c r="M56" s="43"/>
      <c r="N56" s="43"/>
      <c r="O56" s="43"/>
      <c r="P56" s="43"/>
      <c r="Q56" s="43"/>
      <c r="R56" s="43"/>
      <c r="S56" s="43"/>
    </row>
    <row r="57" spans="2:19" x14ac:dyDescent="0.2">
      <c r="B57" s="68" t="s">
        <v>242</v>
      </c>
      <c r="C57" s="67"/>
      <c r="D57" s="67"/>
      <c r="F57" s="43"/>
      <c r="G57" s="43"/>
      <c r="H57" s="43"/>
      <c r="I57" s="43"/>
      <c r="J57" s="43"/>
      <c r="K57" s="43"/>
      <c r="L57" s="43"/>
      <c r="M57" s="43"/>
      <c r="N57" s="43"/>
      <c r="O57" s="43"/>
      <c r="P57" s="43"/>
      <c r="Q57" s="43"/>
      <c r="R57" s="43"/>
      <c r="S57" s="43"/>
    </row>
    <row r="58" spans="2:19" x14ac:dyDescent="0.2">
      <c r="B58" s="71" t="s">
        <v>243</v>
      </c>
      <c r="C58" s="64"/>
      <c r="D58" s="64"/>
      <c r="F58" s="43"/>
      <c r="G58" s="43"/>
      <c r="H58" s="43"/>
      <c r="I58" s="43"/>
      <c r="J58" s="43"/>
      <c r="K58" s="43"/>
      <c r="L58" s="43"/>
      <c r="M58" s="43"/>
      <c r="N58" s="43"/>
      <c r="O58" s="43"/>
      <c r="P58" s="43"/>
      <c r="Q58" s="43"/>
      <c r="R58" s="43"/>
      <c r="S58" s="43"/>
    </row>
    <row r="59" spans="2:19" x14ac:dyDescent="0.2">
      <c r="B59" s="71" t="s">
        <v>244</v>
      </c>
      <c r="C59" s="64"/>
      <c r="D59" s="64"/>
      <c r="F59" s="43"/>
      <c r="G59" s="43"/>
      <c r="H59" s="43"/>
      <c r="I59" s="43"/>
      <c r="J59" s="43"/>
      <c r="K59" s="43"/>
      <c r="L59" s="43"/>
      <c r="M59" s="43"/>
      <c r="N59" s="43"/>
      <c r="O59" s="43"/>
      <c r="P59" s="43"/>
      <c r="Q59" s="43"/>
      <c r="R59" s="43"/>
      <c r="S59" s="43"/>
    </row>
    <row r="60" spans="2:19" x14ac:dyDescent="0.2">
      <c r="B60" s="68" t="s">
        <v>245</v>
      </c>
      <c r="C60" s="67"/>
      <c r="D60" s="67"/>
      <c r="F60" s="43"/>
      <c r="G60" s="43"/>
      <c r="H60" s="43"/>
      <c r="I60" s="43"/>
      <c r="J60" s="43"/>
      <c r="K60" s="43"/>
      <c r="L60" s="43"/>
      <c r="M60" s="43"/>
      <c r="N60" s="43"/>
      <c r="O60" s="43"/>
      <c r="P60" s="43"/>
      <c r="Q60" s="43"/>
      <c r="R60" s="43"/>
      <c r="S60" s="43"/>
    </row>
    <row r="61" spans="2:19" x14ac:dyDescent="0.2">
      <c r="B61" s="68" t="s">
        <v>256</v>
      </c>
      <c r="C61" s="67"/>
      <c r="D61" s="67"/>
    </row>
    <row r="62" spans="2:19" x14ac:dyDescent="0.2">
      <c r="B62" s="71" t="s">
        <v>342</v>
      </c>
      <c r="C62" s="64"/>
      <c r="D62" s="64"/>
    </row>
    <row r="63" spans="2:19" x14ac:dyDescent="0.2">
      <c r="B63" s="68" t="s">
        <v>246</v>
      </c>
      <c r="C63" s="67"/>
      <c r="D63" s="67"/>
      <c r="F63" s="43"/>
      <c r="G63" s="43"/>
      <c r="H63" s="43"/>
      <c r="I63" s="43"/>
      <c r="J63" s="43"/>
      <c r="K63" s="43"/>
      <c r="L63" s="43"/>
      <c r="M63" s="43"/>
      <c r="N63" s="43"/>
      <c r="O63" s="43"/>
      <c r="P63" s="43"/>
      <c r="Q63" s="43"/>
      <c r="R63" s="43"/>
      <c r="S63" s="43"/>
    </row>
    <row r="64" spans="2:19" x14ac:dyDescent="0.2">
      <c r="B64" s="68" t="s">
        <v>257</v>
      </c>
      <c r="C64" s="67"/>
      <c r="D64" s="67"/>
    </row>
    <row r="65" spans="2:19" x14ac:dyDescent="0.2">
      <c r="B65" s="69" t="s">
        <v>8</v>
      </c>
      <c r="C65" s="70"/>
      <c r="D65" s="70"/>
      <c r="F65" s="43"/>
      <c r="G65" s="43"/>
      <c r="H65" s="43"/>
      <c r="I65" s="43"/>
      <c r="J65" s="43"/>
      <c r="K65" s="43"/>
      <c r="L65" s="43"/>
      <c r="M65" s="43"/>
      <c r="N65" s="43"/>
      <c r="O65" s="43"/>
      <c r="P65" s="43"/>
      <c r="Q65" s="43"/>
      <c r="R65" s="43"/>
      <c r="S65" s="43"/>
    </row>
    <row r="66" spans="2:19" x14ac:dyDescent="0.2">
      <c r="B66" s="69" t="s">
        <v>338</v>
      </c>
      <c r="C66" s="70"/>
      <c r="D66" s="70"/>
      <c r="F66" s="43"/>
      <c r="G66" s="43"/>
      <c r="H66" s="43"/>
      <c r="I66" s="43"/>
      <c r="J66" s="43"/>
      <c r="K66" s="43"/>
      <c r="L66" s="43"/>
      <c r="M66" s="43"/>
      <c r="N66" s="43"/>
      <c r="O66" s="43"/>
      <c r="P66" s="43"/>
      <c r="Q66" s="43"/>
      <c r="R66" s="43"/>
      <c r="S66" s="43"/>
    </row>
    <row r="67" spans="2:19" x14ac:dyDescent="0.2">
      <c r="B67" s="68" t="s">
        <v>478</v>
      </c>
      <c r="C67" s="67"/>
      <c r="D67" s="67"/>
      <c r="F67" s="43"/>
      <c r="G67" s="43"/>
      <c r="H67" s="43"/>
      <c r="I67" s="43"/>
      <c r="J67" s="43"/>
      <c r="K67" s="43"/>
      <c r="L67" s="43"/>
      <c r="M67" s="43"/>
      <c r="N67" s="43"/>
      <c r="O67" s="43"/>
      <c r="P67" s="43"/>
      <c r="Q67" s="43"/>
      <c r="R67" s="43"/>
      <c r="S67" s="43"/>
    </row>
    <row r="68" spans="2:19" x14ac:dyDescent="0.2">
      <c r="B68" s="68" t="s">
        <v>479</v>
      </c>
      <c r="C68" s="67"/>
      <c r="D68" s="67"/>
      <c r="F68" s="43"/>
      <c r="G68" s="43"/>
      <c r="H68" s="43"/>
      <c r="I68" s="43"/>
      <c r="J68" s="43"/>
      <c r="K68" s="43"/>
      <c r="L68" s="43"/>
      <c r="M68" s="43"/>
      <c r="N68" s="43"/>
      <c r="O68" s="43"/>
      <c r="P68" s="43"/>
      <c r="Q68" s="43"/>
      <c r="R68" s="43"/>
      <c r="S68" s="43"/>
    </row>
    <row r="69" spans="2:19" x14ac:dyDescent="0.2">
      <c r="B69" s="68" t="s">
        <v>480</v>
      </c>
      <c r="C69" s="67"/>
      <c r="D69" s="67"/>
      <c r="F69" s="43"/>
      <c r="G69" s="43"/>
      <c r="H69" s="43"/>
      <c r="I69" s="43"/>
      <c r="J69" s="43"/>
      <c r="K69" s="43"/>
      <c r="L69" s="43"/>
      <c r="M69" s="43"/>
      <c r="N69" s="43"/>
      <c r="O69" s="43"/>
      <c r="P69" s="43"/>
      <c r="Q69" s="43"/>
      <c r="R69" s="43"/>
      <c r="S69" s="43"/>
    </row>
    <row r="70" spans="2:19" x14ac:dyDescent="0.2">
      <c r="B70" s="68" t="s">
        <v>9</v>
      </c>
      <c r="C70" s="67"/>
      <c r="D70" s="67"/>
      <c r="F70" s="43"/>
      <c r="G70" s="43"/>
      <c r="H70" s="43"/>
      <c r="I70" s="43"/>
      <c r="J70" s="43"/>
      <c r="K70" s="43"/>
      <c r="L70" s="43"/>
      <c r="M70" s="43"/>
      <c r="N70" s="43"/>
      <c r="O70" s="43"/>
      <c r="P70" s="43"/>
      <c r="Q70" s="43"/>
      <c r="R70" s="43"/>
      <c r="S70" s="43"/>
    </row>
    <row r="71" spans="2:19" x14ac:dyDescent="0.2">
      <c r="B71" s="68" t="s">
        <v>163</v>
      </c>
      <c r="C71" s="67"/>
      <c r="D71" s="67"/>
      <c r="F71" s="43"/>
      <c r="G71" s="43"/>
      <c r="H71" s="43"/>
      <c r="I71" s="43"/>
      <c r="J71" s="43"/>
      <c r="K71" s="43"/>
      <c r="L71" s="43"/>
      <c r="M71" s="43"/>
      <c r="N71" s="43"/>
      <c r="O71" s="43"/>
      <c r="P71" s="43"/>
      <c r="Q71" s="43"/>
      <c r="R71" s="43"/>
      <c r="S71" s="43"/>
    </row>
    <row r="72" spans="2:19" x14ac:dyDescent="0.2">
      <c r="B72" s="68" t="s">
        <v>343</v>
      </c>
      <c r="C72" s="67"/>
      <c r="D72" s="67"/>
      <c r="F72" s="43"/>
      <c r="G72" s="43"/>
      <c r="H72" s="43"/>
      <c r="I72" s="43"/>
      <c r="J72" s="43"/>
      <c r="K72" s="43"/>
      <c r="L72" s="43"/>
      <c r="M72" s="43"/>
      <c r="N72" s="43"/>
      <c r="O72" s="43"/>
      <c r="P72" s="43"/>
      <c r="Q72" s="43"/>
      <c r="R72" s="43"/>
      <c r="S72" s="43"/>
    </row>
    <row r="73" spans="2:19" x14ac:dyDescent="0.2">
      <c r="B73" s="71" t="s">
        <v>320</v>
      </c>
      <c r="C73" s="72"/>
      <c r="D73" s="72"/>
      <c r="F73" s="43"/>
      <c r="G73" s="43"/>
      <c r="H73" s="43"/>
      <c r="I73" s="43"/>
      <c r="J73" s="43"/>
      <c r="K73" s="43"/>
      <c r="L73" s="43"/>
      <c r="M73" s="43"/>
      <c r="N73" s="43"/>
      <c r="O73" s="43"/>
      <c r="P73" s="43"/>
      <c r="Q73" s="43"/>
      <c r="R73" s="43"/>
      <c r="S73" s="43"/>
    </row>
    <row r="74" spans="2:19" x14ac:dyDescent="0.2">
      <c r="B74" s="71" t="s">
        <v>260</v>
      </c>
      <c r="C74" s="73"/>
      <c r="D74" s="73"/>
      <c r="F74" s="43"/>
      <c r="G74" s="43"/>
      <c r="H74" s="43"/>
      <c r="I74" s="43"/>
      <c r="J74" s="43"/>
      <c r="K74" s="43"/>
      <c r="L74" s="43"/>
      <c r="M74" s="43"/>
      <c r="N74" s="43"/>
      <c r="O74" s="43"/>
      <c r="P74" s="43"/>
      <c r="Q74" s="43"/>
      <c r="R74" s="43"/>
      <c r="S74" s="43"/>
    </row>
    <row r="75" spans="2:19" x14ac:dyDescent="0.2">
      <c r="B75" s="69" t="s">
        <v>259</v>
      </c>
      <c r="C75" s="70"/>
      <c r="D75" s="70"/>
      <c r="F75" s="43"/>
      <c r="G75" s="43"/>
      <c r="H75" s="43"/>
      <c r="I75" s="43"/>
      <c r="J75" s="43"/>
      <c r="K75" s="43"/>
      <c r="L75" s="43"/>
      <c r="M75" s="43"/>
      <c r="N75" s="43"/>
      <c r="O75" s="43"/>
      <c r="P75" s="43"/>
      <c r="Q75" s="43"/>
      <c r="R75" s="43"/>
      <c r="S75" s="43"/>
    </row>
    <row r="76" spans="2:19" x14ac:dyDescent="0.2">
      <c r="B76" s="69" t="s">
        <v>330</v>
      </c>
      <c r="C76" s="70"/>
      <c r="D76" s="70"/>
      <c r="F76" s="43"/>
      <c r="G76" s="43"/>
      <c r="H76" s="43"/>
      <c r="I76" s="43"/>
      <c r="J76" s="43"/>
      <c r="K76" s="43"/>
      <c r="L76" s="43"/>
      <c r="M76" s="43"/>
      <c r="N76" s="43"/>
      <c r="O76" s="43"/>
      <c r="P76" s="43"/>
      <c r="Q76" s="43"/>
      <c r="R76" s="43"/>
      <c r="S76" s="43"/>
    </row>
    <row r="77" spans="2:19" x14ac:dyDescent="0.2">
      <c r="B77" s="69" t="s">
        <v>331</v>
      </c>
      <c r="C77" s="70"/>
      <c r="D77" s="70"/>
      <c r="F77" s="43"/>
      <c r="G77" s="43"/>
      <c r="H77" s="43"/>
      <c r="I77" s="43"/>
      <c r="J77" s="43"/>
      <c r="K77" s="43"/>
      <c r="L77" s="43"/>
      <c r="M77" s="43"/>
      <c r="N77" s="43"/>
      <c r="O77" s="43"/>
      <c r="P77" s="43"/>
      <c r="Q77" s="43"/>
      <c r="R77" s="43"/>
      <c r="S77" s="43"/>
    </row>
    <row r="78" spans="2:19" x14ac:dyDescent="0.2">
      <c r="B78" s="71" t="s">
        <v>319</v>
      </c>
      <c r="C78" s="74"/>
      <c r="D78" s="74"/>
      <c r="F78" s="43"/>
      <c r="G78" s="43"/>
      <c r="H78" s="43"/>
      <c r="I78" s="43"/>
      <c r="J78" s="43"/>
      <c r="K78" s="43"/>
      <c r="L78" s="43"/>
      <c r="M78" s="43"/>
      <c r="N78" s="43"/>
      <c r="O78" s="43"/>
      <c r="P78" s="43"/>
      <c r="Q78" s="43"/>
      <c r="R78" s="43"/>
      <c r="S78" s="43"/>
    </row>
    <row r="79" spans="2:19" x14ac:dyDescent="0.2">
      <c r="B79" s="68" t="s">
        <v>321</v>
      </c>
      <c r="C79" s="67"/>
      <c r="D79" s="67"/>
      <c r="F79" s="43"/>
      <c r="G79" s="43"/>
      <c r="H79" s="43"/>
      <c r="I79" s="43"/>
      <c r="J79" s="43"/>
      <c r="K79" s="43"/>
      <c r="L79" s="43"/>
      <c r="M79" s="43"/>
      <c r="N79" s="43"/>
      <c r="O79" s="43"/>
      <c r="P79" s="43"/>
      <c r="Q79" s="43"/>
      <c r="R79" s="43"/>
      <c r="S79" s="43"/>
    </row>
    <row r="80" spans="2:19" x14ac:dyDescent="0.2">
      <c r="B80" s="71" t="s">
        <v>408</v>
      </c>
      <c r="C80" s="74"/>
      <c r="D80" s="74"/>
      <c r="F80" s="43"/>
      <c r="G80" s="43"/>
      <c r="H80" s="43"/>
      <c r="I80" s="43"/>
      <c r="J80" s="43"/>
      <c r="K80" s="43"/>
      <c r="L80" s="43"/>
      <c r="M80" s="43"/>
      <c r="N80" s="43"/>
      <c r="O80" s="43"/>
      <c r="P80" s="43"/>
      <c r="Q80" s="43"/>
      <c r="R80" s="43"/>
      <c r="S80" s="43"/>
    </row>
    <row r="81" spans="2:19" x14ac:dyDescent="0.2">
      <c r="B81" s="71" t="s">
        <v>415</v>
      </c>
      <c r="C81" s="74"/>
      <c r="D81" s="74"/>
      <c r="F81" s="43"/>
      <c r="G81" s="43"/>
      <c r="H81" s="43"/>
      <c r="I81" s="43"/>
      <c r="J81" s="43"/>
      <c r="K81" s="43"/>
      <c r="L81" s="43"/>
      <c r="M81" s="43"/>
      <c r="N81" s="43"/>
      <c r="O81" s="43"/>
      <c r="P81" s="43"/>
      <c r="Q81" s="43"/>
      <c r="R81" s="43"/>
      <c r="S81" s="43"/>
    </row>
    <row r="82" spans="2:19" x14ac:dyDescent="0.2">
      <c r="B82" s="68" t="s">
        <v>450</v>
      </c>
      <c r="C82" s="67"/>
      <c r="D82" s="67"/>
      <c r="F82" s="43"/>
      <c r="G82" s="43"/>
      <c r="H82" s="43"/>
      <c r="I82" s="43"/>
      <c r="J82" s="43"/>
      <c r="K82" s="43"/>
      <c r="L82" s="43"/>
      <c r="M82" s="43"/>
      <c r="N82" s="43"/>
      <c r="O82" s="43"/>
      <c r="P82" s="43"/>
      <c r="Q82" s="43"/>
      <c r="R82" s="43"/>
      <c r="S82" s="43"/>
    </row>
    <row r="83" spans="2:19" x14ac:dyDescent="0.2">
      <c r="B83" s="68" t="s">
        <v>451</v>
      </c>
      <c r="C83" s="67"/>
      <c r="D83" s="67"/>
      <c r="F83" s="43"/>
      <c r="G83" s="43"/>
      <c r="H83" s="43"/>
      <c r="I83" s="43"/>
      <c r="J83" s="43"/>
      <c r="K83" s="43"/>
      <c r="L83" s="43"/>
      <c r="M83" s="43"/>
      <c r="N83" s="43"/>
      <c r="O83" s="43"/>
      <c r="P83" s="43"/>
      <c r="Q83" s="43"/>
      <c r="R83" s="43"/>
      <c r="S83" s="43"/>
    </row>
    <row r="84" spans="2:19" x14ac:dyDescent="0.2">
      <c r="B84" s="68" t="s">
        <v>452</v>
      </c>
      <c r="C84" s="67"/>
      <c r="D84" s="67"/>
      <c r="F84" s="43"/>
      <c r="G84" s="43"/>
      <c r="H84" s="43"/>
      <c r="I84" s="43"/>
      <c r="J84" s="43"/>
      <c r="K84" s="43"/>
      <c r="L84" s="43"/>
      <c r="M84" s="43"/>
      <c r="N84" s="43"/>
      <c r="O84" s="43"/>
      <c r="P84" s="43"/>
      <c r="Q84" s="43"/>
      <c r="R84" s="43"/>
      <c r="S84" s="43"/>
    </row>
    <row r="85" spans="2:19" x14ac:dyDescent="0.2">
      <c r="B85" s="68" t="s">
        <v>453</v>
      </c>
      <c r="C85" s="67"/>
      <c r="D85" s="67"/>
      <c r="F85" s="43"/>
      <c r="G85" s="43"/>
      <c r="H85" s="43"/>
      <c r="I85" s="43"/>
      <c r="J85" s="43"/>
      <c r="K85" s="43"/>
      <c r="L85" s="43"/>
      <c r="M85" s="43"/>
      <c r="N85" s="43"/>
      <c r="O85" s="43"/>
      <c r="P85" s="43"/>
      <c r="Q85" s="43"/>
      <c r="R85" s="43"/>
      <c r="S85" s="43"/>
    </row>
    <row r="86" spans="2:19" x14ac:dyDescent="0.2">
      <c r="B86" s="68" t="s">
        <v>454</v>
      </c>
      <c r="C86" s="67"/>
      <c r="D86" s="67"/>
      <c r="F86" s="43"/>
      <c r="G86" s="43"/>
      <c r="H86" s="43"/>
      <c r="I86" s="43"/>
      <c r="J86" s="43"/>
      <c r="K86" s="43"/>
      <c r="L86" s="43"/>
      <c r="M86" s="43"/>
      <c r="N86" s="43"/>
      <c r="O86" s="43"/>
      <c r="P86" s="43"/>
      <c r="Q86" s="43"/>
      <c r="R86" s="43"/>
      <c r="S86" s="43"/>
    </row>
    <row r="87" spans="2:19" x14ac:dyDescent="0.2">
      <c r="B87" s="68" t="s">
        <v>455</v>
      </c>
      <c r="C87" s="67"/>
      <c r="D87" s="67"/>
      <c r="F87" s="43"/>
      <c r="G87" s="43"/>
      <c r="H87" s="43"/>
      <c r="I87" s="43"/>
      <c r="J87" s="43"/>
      <c r="K87" s="43"/>
      <c r="L87" s="43"/>
      <c r="M87" s="43"/>
      <c r="N87" s="43"/>
      <c r="O87" s="43"/>
      <c r="P87" s="43"/>
      <c r="Q87" s="43"/>
      <c r="R87" s="43"/>
      <c r="S87" s="43"/>
    </row>
    <row r="88" spans="2:19" x14ac:dyDescent="0.2">
      <c r="B88" s="71" t="s">
        <v>17</v>
      </c>
      <c r="C88" s="74"/>
      <c r="D88" s="74"/>
      <c r="F88" s="43"/>
      <c r="G88" s="43"/>
      <c r="H88" s="43"/>
      <c r="I88" s="43"/>
      <c r="J88" s="43"/>
      <c r="K88" s="43"/>
      <c r="L88" s="43"/>
      <c r="M88" s="43"/>
      <c r="N88" s="43"/>
      <c r="O88" s="43"/>
      <c r="P88" s="43"/>
      <c r="Q88" s="43"/>
      <c r="R88" s="43"/>
      <c r="S88" s="43"/>
    </row>
    <row r="89" spans="2:19" x14ac:dyDescent="0.2">
      <c r="B89" s="68" t="s">
        <v>233</v>
      </c>
      <c r="C89" s="67"/>
      <c r="D89" s="67"/>
      <c r="F89" s="43"/>
      <c r="G89" s="43"/>
      <c r="H89" s="43"/>
      <c r="I89" s="43"/>
      <c r="J89" s="43"/>
      <c r="K89" s="43"/>
      <c r="L89" s="43"/>
      <c r="M89" s="43"/>
      <c r="N89" s="43"/>
      <c r="O89" s="43"/>
      <c r="P89" s="43"/>
      <c r="Q89" s="43"/>
      <c r="R89" s="43"/>
      <c r="S89" s="43"/>
    </row>
    <row r="90" spans="2:19" x14ac:dyDescent="0.2">
      <c r="B90" s="69" t="s">
        <v>456</v>
      </c>
      <c r="C90" s="70"/>
      <c r="D90" s="70"/>
      <c r="F90" s="43"/>
      <c r="G90" s="43"/>
      <c r="H90" s="43"/>
      <c r="I90" s="43"/>
      <c r="J90" s="43"/>
      <c r="K90" s="43"/>
      <c r="L90" s="43"/>
      <c r="M90" s="43"/>
      <c r="N90" s="43"/>
      <c r="O90" s="43"/>
      <c r="P90" s="43"/>
      <c r="Q90" s="43"/>
      <c r="R90" s="43"/>
      <c r="S90" s="43"/>
    </row>
    <row r="91" spans="2:19" x14ac:dyDescent="0.2">
      <c r="B91" s="69" t="s">
        <v>457</v>
      </c>
      <c r="C91" s="70"/>
      <c r="D91" s="70"/>
      <c r="F91" s="43"/>
      <c r="G91" s="43"/>
      <c r="H91" s="43"/>
      <c r="I91" s="43"/>
      <c r="J91" s="43"/>
      <c r="K91" s="43"/>
      <c r="L91" s="43"/>
      <c r="M91" s="43"/>
      <c r="N91" s="43"/>
      <c r="O91" s="43"/>
      <c r="P91" s="43"/>
      <c r="Q91" s="43"/>
      <c r="R91" s="43"/>
      <c r="S91" s="43"/>
    </row>
    <row r="92" spans="2:19" x14ac:dyDescent="0.2">
      <c r="B92" s="68" t="s">
        <v>458</v>
      </c>
      <c r="C92" s="67"/>
      <c r="D92" s="67"/>
      <c r="F92" s="43"/>
      <c r="G92" s="43"/>
      <c r="H92" s="43"/>
      <c r="I92" s="43"/>
      <c r="J92" s="43"/>
      <c r="K92" s="43"/>
      <c r="L92" s="43"/>
      <c r="M92" s="43"/>
      <c r="N92" s="43"/>
      <c r="O92" s="43"/>
      <c r="P92" s="43"/>
      <c r="Q92" s="43"/>
      <c r="R92" s="43"/>
      <c r="S92" s="43"/>
    </row>
    <row r="93" spans="2:19" x14ac:dyDescent="0.2">
      <c r="B93" s="68" t="s">
        <v>459</v>
      </c>
      <c r="C93" s="67"/>
      <c r="D93" s="67"/>
      <c r="F93" s="43"/>
      <c r="G93" s="43"/>
      <c r="H93" s="43"/>
      <c r="I93" s="43"/>
      <c r="J93" s="43"/>
      <c r="K93" s="43"/>
      <c r="L93" s="43"/>
      <c r="M93" s="43"/>
      <c r="N93" s="43"/>
      <c r="O93" s="43"/>
      <c r="P93" s="43"/>
      <c r="Q93" s="43"/>
      <c r="R93" s="43"/>
      <c r="S93" s="43"/>
    </row>
    <row r="94" spans="2:19" x14ac:dyDescent="0.2">
      <c r="B94" s="68" t="s">
        <v>460</v>
      </c>
      <c r="C94" s="67"/>
      <c r="D94" s="67"/>
      <c r="F94" s="43"/>
      <c r="G94" s="43"/>
      <c r="H94" s="43"/>
      <c r="I94" s="43"/>
      <c r="J94" s="43"/>
      <c r="K94" s="43"/>
      <c r="L94" s="43"/>
      <c r="M94" s="43"/>
      <c r="N94" s="43"/>
      <c r="O94" s="43"/>
      <c r="P94" s="43"/>
      <c r="Q94" s="43"/>
      <c r="R94" s="43"/>
      <c r="S94" s="43"/>
    </row>
    <row r="95" spans="2:19" x14ac:dyDescent="0.2">
      <c r="B95" s="68" t="s">
        <v>374</v>
      </c>
      <c r="C95" s="67"/>
      <c r="D95" s="67"/>
      <c r="F95" s="43"/>
      <c r="G95" s="43"/>
      <c r="H95" s="43"/>
      <c r="I95" s="43"/>
      <c r="J95" s="43"/>
      <c r="K95" s="43"/>
      <c r="L95" s="43"/>
      <c r="M95" s="43"/>
      <c r="N95" s="43"/>
      <c r="O95" s="43"/>
      <c r="P95" s="43"/>
      <c r="Q95" s="43"/>
      <c r="R95" s="43"/>
      <c r="S95" s="43"/>
    </row>
    <row r="96" spans="2:19" x14ac:dyDescent="0.2">
      <c r="B96" s="68" t="s">
        <v>276</v>
      </c>
      <c r="C96" s="67"/>
      <c r="D96" s="67"/>
      <c r="F96" s="43"/>
      <c r="G96" s="43"/>
      <c r="H96" s="43"/>
      <c r="I96" s="43"/>
      <c r="J96" s="43"/>
      <c r="K96" s="43"/>
      <c r="L96" s="43"/>
      <c r="M96" s="43"/>
      <c r="N96" s="43"/>
      <c r="O96" s="43"/>
      <c r="P96" s="43"/>
      <c r="Q96" s="43"/>
      <c r="R96" s="43"/>
      <c r="S96" s="43"/>
    </row>
    <row r="97" spans="2:19" x14ac:dyDescent="0.2">
      <c r="B97" s="68" t="s">
        <v>258</v>
      </c>
      <c r="C97" s="67"/>
      <c r="D97" s="67"/>
    </row>
    <row r="98" spans="2:19" x14ac:dyDescent="0.2">
      <c r="B98" s="69" t="s">
        <v>176</v>
      </c>
      <c r="C98" s="70"/>
      <c r="D98" s="70"/>
      <c r="F98" s="43"/>
      <c r="G98" s="43"/>
      <c r="H98" s="43"/>
      <c r="I98" s="43"/>
      <c r="J98" s="43"/>
      <c r="K98" s="43"/>
      <c r="L98" s="43"/>
      <c r="M98" s="43"/>
      <c r="N98" s="43"/>
      <c r="O98" s="43"/>
      <c r="P98" s="43"/>
      <c r="Q98" s="43"/>
      <c r="R98" s="43"/>
      <c r="S98" s="43"/>
    </row>
    <row r="99" spans="2:19" x14ac:dyDescent="0.2">
      <c r="B99" s="69" t="s">
        <v>177</v>
      </c>
      <c r="C99" s="70"/>
      <c r="D99" s="70"/>
      <c r="F99" s="43"/>
      <c r="G99" s="43"/>
      <c r="H99" s="43"/>
      <c r="I99" s="43"/>
      <c r="J99" s="43"/>
      <c r="K99" s="43"/>
      <c r="L99" s="43"/>
      <c r="M99" s="43"/>
      <c r="N99" s="43"/>
      <c r="O99" s="43"/>
      <c r="P99" s="43"/>
      <c r="Q99" s="43"/>
      <c r="R99" s="43"/>
      <c r="S99" s="43"/>
    </row>
    <row r="100" spans="2:19" x14ac:dyDescent="0.2">
      <c r="B100" s="68" t="s">
        <v>6</v>
      </c>
      <c r="C100" s="67"/>
      <c r="D100" s="67"/>
      <c r="F100" s="43"/>
      <c r="G100" s="43"/>
      <c r="H100" s="43"/>
      <c r="I100" s="43"/>
      <c r="J100" s="43"/>
      <c r="K100" s="43"/>
      <c r="L100" s="43"/>
      <c r="M100" s="43"/>
      <c r="N100" s="43"/>
      <c r="O100" s="43"/>
      <c r="P100" s="43"/>
      <c r="Q100" s="43"/>
      <c r="R100" s="43"/>
      <c r="S100" s="43"/>
    </row>
    <row r="101" spans="2:19" x14ac:dyDescent="0.2">
      <c r="B101" s="68" t="s">
        <v>377</v>
      </c>
      <c r="C101" s="67"/>
      <c r="D101" s="67"/>
      <c r="F101" s="43"/>
      <c r="G101" s="43"/>
      <c r="H101" s="43"/>
      <c r="I101" s="43"/>
      <c r="J101" s="43"/>
      <c r="K101" s="43"/>
      <c r="L101" s="43"/>
      <c r="M101" s="43"/>
      <c r="N101" s="43"/>
      <c r="O101" s="43"/>
      <c r="P101" s="43"/>
      <c r="Q101" s="43"/>
      <c r="R101" s="43"/>
      <c r="S101" s="43"/>
    </row>
    <row r="102" spans="2:19" x14ac:dyDescent="0.2">
      <c r="B102" s="68" t="s">
        <v>10</v>
      </c>
      <c r="C102" s="67"/>
      <c r="D102" s="67"/>
      <c r="F102" s="43"/>
      <c r="G102" s="43"/>
      <c r="H102" s="43"/>
      <c r="I102" s="43"/>
      <c r="J102" s="43"/>
      <c r="K102" s="43"/>
      <c r="L102" s="43"/>
      <c r="M102" s="43"/>
      <c r="N102" s="43"/>
      <c r="O102" s="43"/>
      <c r="P102" s="43"/>
      <c r="Q102" s="43"/>
      <c r="R102" s="43"/>
      <c r="S102" s="43"/>
    </row>
    <row r="103" spans="2:19" ht="15" customHeight="1" x14ac:dyDescent="0.2">
      <c r="B103" s="75"/>
      <c r="F103" s="43"/>
      <c r="G103" s="43"/>
      <c r="H103" s="43"/>
      <c r="I103" s="43"/>
      <c r="J103" s="43"/>
      <c r="K103" s="43"/>
      <c r="L103" s="43"/>
      <c r="M103" s="43"/>
      <c r="N103" s="43"/>
      <c r="O103" s="43"/>
      <c r="P103" s="43"/>
      <c r="Q103" s="43"/>
      <c r="R103" s="43"/>
      <c r="S103" s="43"/>
    </row>
    <row r="104" spans="2:19" x14ac:dyDescent="0.2">
      <c r="B104" s="76" t="s">
        <v>11</v>
      </c>
      <c r="C104" s="77"/>
      <c r="F104" s="43"/>
      <c r="G104" s="43"/>
      <c r="H104" s="43"/>
      <c r="I104" s="43"/>
      <c r="J104" s="43"/>
      <c r="K104" s="43"/>
      <c r="L104" s="43"/>
      <c r="M104" s="43"/>
      <c r="N104" s="43"/>
      <c r="O104" s="43"/>
      <c r="P104" s="43"/>
      <c r="Q104" s="43"/>
      <c r="R104" s="43"/>
      <c r="S104" s="43"/>
    </row>
    <row r="105" spans="2:19" x14ac:dyDescent="0.2">
      <c r="B105" s="76" t="s">
        <v>333</v>
      </c>
      <c r="C105" s="77"/>
      <c r="F105" s="43"/>
      <c r="G105" s="43"/>
      <c r="H105" s="43"/>
      <c r="I105" s="43"/>
      <c r="J105" s="43"/>
      <c r="K105" s="43"/>
      <c r="L105" s="43"/>
      <c r="M105" s="43"/>
      <c r="N105" s="43"/>
      <c r="O105" s="43"/>
      <c r="P105" s="43"/>
      <c r="Q105" s="43"/>
      <c r="R105" s="43"/>
      <c r="S105" s="43"/>
    </row>
    <row r="106" spans="2:19" x14ac:dyDescent="0.2">
      <c r="B106" s="76" t="s">
        <v>336</v>
      </c>
      <c r="C106" s="77"/>
      <c r="F106" s="43"/>
      <c r="G106" s="43"/>
      <c r="H106" s="43"/>
      <c r="I106" s="43"/>
      <c r="J106" s="43"/>
      <c r="K106" s="43"/>
      <c r="L106" s="43"/>
      <c r="M106" s="43"/>
      <c r="N106" s="43"/>
      <c r="O106" s="43"/>
      <c r="P106" s="43"/>
      <c r="Q106" s="43"/>
      <c r="R106" s="43"/>
      <c r="S106" s="43"/>
    </row>
    <row r="107" spans="2:19" x14ac:dyDescent="0.2">
      <c r="B107" s="76" t="s">
        <v>339</v>
      </c>
      <c r="C107" s="77"/>
      <c r="F107" s="43"/>
      <c r="G107" s="43"/>
      <c r="H107" s="43"/>
      <c r="I107" s="43"/>
      <c r="J107" s="43"/>
      <c r="K107" s="43"/>
      <c r="L107" s="43"/>
      <c r="M107" s="43"/>
      <c r="N107" s="43"/>
      <c r="O107" s="43"/>
      <c r="P107" s="43"/>
      <c r="Q107" s="43"/>
      <c r="R107" s="43"/>
      <c r="S107" s="43"/>
    </row>
    <row r="108" spans="2:19" x14ac:dyDescent="0.2">
      <c r="B108" s="76" t="s">
        <v>341</v>
      </c>
      <c r="C108" s="77"/>
      <c r="F108" s="43"/>
      <c r="G108" s="43"/>
      <c r="H108" s="43"/>
      <c r="I108" s="43"/>
      <c r="J108" s="43"/>
      <c r="K108" s="43"/>
      <c r="L108" s="43"/>
      <c r="M108" s="43"/>
      <c r="N108" s="43"/>
      <c r="O108" s="43"/>
      <c r="P108" s="43"/>
      <c r="Q108" s="43"/>
      <c r="R108" s="43"/>
      <c r="S108" s="43"/>
    </row>
    <row r="109" spans="2:19" x14ac:dyDescent="0.2">
      <c r="B109" s="76" t="s">
        <v>25</v>
      </c>
      <c r="C109" s="77"/>
      <c r="F109" s="43"/>
      <c r="G109" s="43"/>
      <c r="H109" s="43"/>
      <c r="I109" s="43"/>
      <c r="J109" s="43"/>
      <c r="K109" s="43"/>
      <c r="L109" s="43"/>
      <c r="M109" s="43"/>
      <c r="N109" s="43"/>
      <c r="O109" s="43"/>
      <c r="P109" s="43"/>
      <c r="Q109" s="43"/>
      <c r="R109" s="43"/>
      <c r="S109" s="43"/>
    </row>
    <row r="110" spans="2:19" x14ac:dyDescent="0.2">
      <c r="B110" s="76" t="s">
        <v>26</v>
      </c>
      <c r="C110" s="77"/>
      <c r="F110" s="43"/>
      <c r="G110" s="43"/>
      <c r="H110" s="43"/>
      <c r="I110" s="43"/>
      <c r="J110" s="43"/>
      <c r="K110" s="43"/>
      <c r="L110" s="43"/>
      <c r="M110" s="43"/>
      <c r="N110" s="43"/>
      <c r="O110" s="43"/>
      <c r="P110" s="43"/>
      <c r="Q110" s="43"/>
      <c r="R110" s="43"/>
      <c r="S110" s="43"/>
    </row>
    <row r="111" spans="2:19" x14ac:dyDescent="0.2">
      <c r="F111" s="43"/>
      <c r="G111" s="43"/>
      <c r="H111" s="43"/>
      <c r="I111" s="43"/>
      <c r="J111" s="43"/>
      <c r="K111" s="43"/>
      <c r="L111" s="43"/>
      <c r="M111" s="43"/>
      <c r="N111" s="43"/>
      <c r="O111" s="43"/>
      <c r="P111" s="43"/>
      <c r="Q111" s="43"/>
      <c r="R111" s="43"/>
      <c r="S111" s="43"/>
    </row>
    <row r="112" spans="2:19" x14ac:dyDescent="0.2">
      <c r="B112" s="78" t="s">
        <v>329</v>
      </c>
      <c r="C112" s="74"/>
      <c r="D112" s="74"/>
      <c r="F112" s="43"/>
      <c r="G112" s="43"/>
      <c r="H112" s="43"/>
      <c r="I112" s="43"/>
      <c r="J112" s="43"/>
      <c r="K112" s="43"/>
      <c r="L112" s="43"/>
      <c r="M112" s="43"/>
      <c r="N112" s="43"/>
      <c r="O112" s="43"/>
      <c r="P112" s="43"/>
      <c r="Q112" s="43"/>
      <c r="R112" s="43"/>
      <c r="S112" s="43"/>
    </row>
    <row r="113" spans="2:19" x14ac:dyDescent="0.2">
      <c r="B113" s="78" t="s">
        <v>231</v>
      </c>
      <c r="C113" s="74"/>
      <c r="D113" s="74"/>
    </row>
    <row r="114" spans="2:19" x14ac:dyDescent="0.2">
      <c r="B114" s="79" t="s">
        <v>461</v>
      </c>
      <c r="C114" s="70"/>
      <c r="D114" s="70"/>
    </row>
    <row r="115" spans="2:19" x14ac:dyDescent="0.2">
      <c r="B115" s="68" t="s">
        <v>462</v>
      </c>
      <c r="C115" s="70"/>
      <c r="D115" s="70"/>
      <c r="F115" s="43"/>
      <c r="G115" s="43"/>
      <c r="H115" s="43"/>
      <c r="I115" s="43"/>
      <c r="J115" s="43"/>
      <c r="K115" s="43"/>
      <c r="L115" s="43"/>
      <c r="M115" s="43"/>
      <c r="N115" s="43"/>
      <c r="O115" s="43"/>
      <c r="P115" s="43"/>
      <c r="Q115" s="43"/>
      <c r="R115" s="43"/>
      <c r="S115" s="43"/>
    </row>
    <row r="116" spans="2:19" x14ac:dyDescent="0.2">
      <c r="B116" s="68" t="s">
        <v>463</v>
      </c>
      <c r="C116" s="70"/>
      <c r="D116" s="70"/>
      <c r="F116" s="43"/>
      <c r="G116" s="43"/>
      <c r="H116" s="43"/>
      <c r="I116" s="43"/>
      <c r="J116" s="43"/>
      <c r="K116" s="43"/>
      <c r="L116" s="43"/>
      <c r="M116" s="43"/>
      <c r="N116" s="43"/>
      <c r="O116" s="43"/>
      <c r="P116" s="43"/>
      <c r="Q116" s="43"/>
      <c r="R116" s="43"/>
      <c r="S116" s="43"/>
    </row>
    <row r="117" spans="2:19" x14ac:dyDescent="0.2">
      <c r="B117" s="68" t="s">
        <v>464</v>
      </c>
      <c r="C117" s="70"/>
      <c r="D117" s="70"/>
      <c r="F117" s="43"/>
      <c r="G117" s="43"/>
      <c r="H117" s="43"/>
      <c r="I117" s="43"/>
      <c r="J117" s="43"/>
      <c r="K117" s="43"/>
      <c r="L117" s="43"/>
      <c r="M117" s="43"/>
      <c r="N117" s="43"/>
      <c r="O117" s="43"/>
      <c r="P117" s="43"/>
      <c r="Q117" s="43"/>
      <c r="R117" s="43"/>
      <c r="S117" s="43"/>
    </row>
    <row r="118" spans="2:19" x14ac:dyDescent="0.2">
      <c r="B118" s="79" t="s">
        <v>232</v>
      </c>
      <c r="C118" s="70"/>
      <c r="D118" s="70"/>
    </row>
    <row r="119" spans="2:19" ht="15" customHeight="1" x14ac:dyDescent="0.2">
      <c r="B119" s="75"/>
      <c r="F119" s="43"/>
      <c r="G119" s="43"/>
      <c r="H119" s="43"/>
      <c r="I119" s="43"/>
      <c r="J119" s="43"/>
      <c r="K119" s="43"/>
      <c r="L119" s="43"/>
      <c r="M119" s="43"/>
      <c r="N119" s="43"/>
      <c r="O119" s="43"/>
      <c r="P119" s="43"/>
      <c r="Q119" s="43"/>
      <c r="R119" s="43"/>
      <c r="S119" s="43"/>
    </row>
    <row r="120" spans="2:19" x14ac:dyDescent="0.2">
      <c r="B120" s="71" t="s">
        <v>261</v>
      </c>
      <c r="C120" s="64"/>
      <c r="D120" s="64"/>
    </row>
    <row r="121" spans="2:19" x14ac:dyDescent="0.2">
      <c r="B121" s="71" t="s">
        <v>380</v>
      </c>
      <c r="C121" s="64"/>
      <c r="D121" s="64"/>
    </row>
    <row r="122" spans="2:19" x14ac:dyDescent="0.2">
      <c r="B122" s="69" t="s">
        <v>262</v>
      </c>
      <c r="C122" s="70"/>
      <c r="D122" s="70"/>
    </row>
    <row r="123" spans="2:19" x14ac:dyDescent="0.2">
      <c r="B123" s="71" t="s">
        <v>385</v>
      </c>
      <c r="C123" s="64"/>
      <c r="D123" s="64"/>
    </row>
    <row r="124" spans="2:19" x14ac:dyDescent="0.2">
      <c r="B124" s="69" t="s">
        <v>262</v>
      </c>
      <c r="C124" s="70"/>
      <c r="D124" s="70"/>
    </row>
    <row r="125" spans="2:19" x14ac:dyDescent="0.2">
      <c r="B125" s="75"/>
    </row>
    <row r="126" spans="2:19" x14ac:dyDescent="0.2">
      <c r="B126" s="71" t="s">
        <v>340</v>
      </c>
      <c r="C126" s="64"/>
      <c r="D126" s="64"/>
    </row>
    <row r="127" spans="2:19" x14ac:dyDescent="0.2">
      <c r="B127" s="68" t="s">
        <v>306</v>
      </c>
      <c r="C127" s="67"/>
      <c r="D127" s="67"/>
    </row>
    <row r="128" spans="2:19" x14ac:dyDescent="0.2">
      <c r="B128" s="80" t="s">
        <v>307</v>
      </c>
      <c r="C128" s="70"/>
      <c r="D128" s="70"/>
    </row>
    <row r="129" spans="2:19" x14ac:dyDescent="0.2">
      <c r="B129" s="80" t="s">
        <v>308</v>
      </c>
      <c r="C129" s="70"/>
      <c r="D129" s="70"/>
    </row>
    <row r="130" spans="2:19" x14ac:dyDescent="0.2">
      <c r="B130" s="75"/>
    </row>
    <row r="131" spans="2:19" x14ac:dyDescent="0.2">
      <c r="B131" s="78" t="s">
        <v>329</v>
      </c>
      <c r="C131" s="74"/>
      <c r="D131" s="74"/>
      <c r="F131" s="43"/>
      <c r="G131" s="43"/>
      <c r="H131" s="43"/>
      <c r="I131" s="43"/>
      <c r="J131" s="43"/>
      <c r="K131" s="43"/>
      <c r="L131" s="43"/>
      <c r="M131" s="43"/>
      <c r="N131" s="43"/>
      <c r="O131" s="43"/>
      <c r="P131" s="43"/>
      <c r="Q131" s="43"/>
      <c r="R131" s="43"/>
      <c r="S131" s="43"/>
    </row>
    <row r="132" spans="2:19" x14ac:dyDescent="0.2">
      <c r="B132" s="78" t="s">
        <v>231</v>
      </c>
      <c r="C132" s="74"/>
      <c r="D132" s="74"/>
    </row>
    <row r="133" spans="2:19" x14ac:dyDescent="0.2">
      <c r="B133" s="79" t="s">
        <v>461</v>
      </c>
      <c r="C133" s="70"/>
      <c r="D133" s="70"/>
    </row>
    <row r="134" spans="2:19" x14ac:dyDescent="0.2">
      <c r="B134" s="78" t="s">
        <v>275</v>
      </c>
      <c r="C134" s="74"/>
      <c r="D134" s="74"/>
    </row>
    <row r="135" spans="2:19" x14ac:dyDescent="0.2">
      <c r="B135" s="79" t="s">
        <v>465</v>
      </c>
      <c r="C135" s="70"/>
      <c r="D135" s="70"/>
    </row>
    <row r="136" spans="2:19" x14ac:dyDescent="0.2">
      <c r="B136" s="79" t="s">
        <v>466</v>
      </c>
      <c r="C136" s="70"/>
      <c r="D136" s="70"/>
    </row>
    <row r="137" spans="2:19" x14ac:dyDescent="0.2">
      <c r="B137" s="81" t="s">
        <v>467</v>
      </c>
      <c r="C137" s="67"/>
      <c r="D137" s="67"/>
    </row>
    <row r="138" spans="2:19" x14ac:dyDescent="0.2">
      <c r="B138" s="81" t="s">
        <v>468</v>
      </c>
      <c r="C138" s="67"/>
      <c r="D138" s="67"/>
    </row>
    <row r="139" spans="2:19" x14ac:dyDescent="0.2">
      <c r="B139" s="81" t="s">
        <v>469</v>
      </c>
      <c r="C139" s="67"/>
      <c r="D139" s="67"/>
    </row>
    <row r="140" spans="2:19" x14ac:dyDescent="0.2">
      <c r="B140" s="81" t="s">
        <v>470</v>
      </c>
      <c r="C140" s="67"/>
      <c r="D140" s="67"/>
    </row>
    <row r="141" spans="2:19" x14ac:dyDescent="0.2">
      <c r="B141" s="81" t="s">
        <v>471</v>
      </c>
      <c r="C141" s="67"/>
      <c r="D141" s="67"/>
    </row>
    <row r="142" spans="2:19" x14ac:dyDescent="0.2">
      <c r="B142" s="81" t="s">
        <v>472</v>
      </c>
      <c r="C142" s="67"/>
      <c r="D142" s="67"/>
    </row>
    <row r="143" spans="2:19" x14ac:dyDescent="0.2">
      <c r="B143" s="79" t="s">
        <v>232</v>
      </c>
      <c r="C143" s="70"/>
      <c r="D143" s="70"/>
    </row>
    <row r="144" spans="2:19" ht="15" customHeight="1" thickBot="1" x14ac:dyDescent="0.25">
      <c r="B144" s="75"/>
      <c r="F144" s="43"/>
      <c r="G144" s="43"/>
      <c r="H144" s="43"/>
      <c r="I144" s="43"/>
      <c r="J144" s="43"/>
      <c r="K144" s="43"/>
      <c r="L144" s="43"/>
      <c r="M144" s="43"/>
      <c r="N144" s="43"/>
      <c r="O144" s="43"/>
      <c r="P144" s="43"/>
      <c r="Q144" s="43"/>
      <c r="R144" s="43"/>
      <c r="S144" s="43"/>
    </row>
    <row r="145" spans="2:19" ht="15" x14ac:dyDescent="0.2">
      <c r="B145" s="139" t="s">
        <v>300</v>
      </c>
      <c r="C145" s="140"/>
      <c r="D145" s="141"/>
      <c r="F145" s="43"/>
      <c r="G145" s="43"/>
      <c r="H145" s="43"/>
      <c r="I145" s="43"/>
      <c r="J145" s="43"/>
      <c r="K145" s="43"/>
      <c r="L145" s="43"/>
      <c r="M145" s="43"/>
      <c r="N145" s="43"/>
      <c r="O145" s="43"/>
      <c r="P145" s="43"/>
      <c r="Q145" s="43"/>
      <c r="R145" s="43"/>
      <c r="S145" s="43"/>
    </row>
    <row r="146" spans="2:19" x14ac:dyDescent="0.2">
      <c r="B146" s="82" t="s">
        <v>459</v>
      </c>
      <c r="C146" s="70"/>
      <c r="D146" s="83"/>
      <c r="F146" s="43"/>
      <c r="G146" s="43"/>
      <c r="H146" s="43"/>
      <c r="I146" s="43"/>
      <c r="J146" s="43"/>
      <c r="K146" s="43"/>
      <c r="L146" s="43"/>
      <c r="M146" s="43"/>
      <c r="N146" s="43"/>
      <c r="O146" s="43"/>
      <c r="P146" s="43"/>
      <c r="Q146" s="43"/>
      <c r="R146" s="43"/>
      <c r="S146" s="43"/>
    </row>
    <row r="147" spans="2:19" x14ac:dyDescent="0.2">
      <c r="B147" s="82" t="s">
        <v>458</v>
      </c>
      <c r="C147" s="70"/>
      <c r="D147" s="83"/>
    </row>
    <row r="148" spans="2:19" ht="15" thickBot="1" x14ac:dyDescent="0.25">
      <c r="B148" s="84" t="s">
        <v>473</v>
      </c>
      <c r="C148" s="85"/>
      <c r="D148" s="86"/>
    </row>
    <row r="149" spans="2:19" ht="15" thickBot="1" x14ac:dyDescent="0.25">
      <c r="B149" s="75"/>
      <c r="F149" s="43"/>
      <c r="G149" s="43"/>
      <c r="H149" s="43"/>
      <c r="I149" s="43"/>
      <c r="J149" s="43"/>
      <c r="K149" s="43"/>
      <c r="L149" s="43"/>
      <c r="M149" s="43"/>
      <c r="N149" s="43"/>
      <c r="O149" s="43"/>
      <c r="P149" s="43"/>
      <c r="Q149" s="43"/>
      <c r="R149" s="43"/>
      <c r="S149" s="43"/>
    </row>
    <row r="150" spans="2:19" ht="15" x14ac:dyDescent="0.2">
      <c r="B150" s="139" t="s">
        <v>301</v>
      </c>
      <c r="C150" s="140"/>
      <c r="D150" s="141"/>
      <c r="F150" s="43"/>
      <c r="G150" s="43"/>
      <c r="H150" s="43"/>
      <c r="I150" s="43"/>
      <c r="J150" s="43"/>
      <c r="K150" s="43"/>
      <c r="L150" s="43"/>
      <c r="M150" s="43"/>
      <c r="N150" s="43"/>
      <c r="O150" s="43"/>
      <c r="P150" s="43"/>
      <c r="Q150" s="43"/>
      <c r="R150" s="43"/>
      <c r="S150" s="43"/>
    </row>
    <row r="151" spans="2:19" x14ac:dyDescent="0.2">
      <c r="B151" s="82" t="s">
        <v>459</v>
      </c>
      <c r="C151" s="70"/>
      <c r="D151" s="83"/>
      <c r="F151" s="43"/>
      <c r="G151" s="43"/>
      <c r="H151" s="43"/>
      <c r="I151" s="43"/>
      <c r="J151" s="43"/>
      <c r="K151" s="43"/>
      <c r="L151" s="43"/>
      <c r="M151" s="43"/>
      <c r="N151" s="43"/>
      <c r="O151" s="43"/>
      <c r="P151" s="43"/>
      <c r="Q151" s="43"/>
      <c r="R151" s="43"/>
      <c r="S151" s="43"/>
    </row>
    <row r="152" spans="2:19" x14ac:dyDescent="0.2">
      <c r="B152" s="82" t="s">
        <v>458</v>
      </c>
      <c r="C152" s="70"/>
      <c r="D152" s="83"/>
    </row>
    <row r="153" spans="2:19" ht="15" thickBot="1" x14ac:dyDescent="0.25">
      <c r="B153" s="84" t="s">
        <v>473</v>
      </c>
      <c r="C153" s="85"/>
      <c r="D153" s="86"/>
    </row>
    <row r="154" spans="2:19" x14ac:dyDescent="0.2">
      <c r="B154" s="75"/>
      <c r="F154" s="43"/>
      <c r="G154" s="43"/>
      <c r="H154" s="43"/>
      <c r="I154" s="43"/>
      <c r="J154" s="43"/>
      <c r="K154" s="43"/>
      <c r="L154" s="43"/>
      <c r="M154" s="43"/>
      <c r="N154" s="43"/>
      <c r="O154" s="43"/>
      <c r="P154" s="43"/>
      <c r="Q154" s="43"/>
      <c r="R154" s="43"/>
      <c r="S154" s="43"/>
    </row>
    <row r="155" spans="2:19" x14ac:dyDescent="0.2">
      <c r="B155" s="32" t="str">
        <f>'General System Parameters'!B9</f>
        <v># Rcvrs</v>
      </c>
      <c r="C155" s="33">
        <f>'General System Parameters'!C9</f>
        <v>5</v>
      </c>
      <c r="F155" s="43"/>
      <c r="G155" s="43"/>
      <c r="H155" s="43"/>
      <c r="I155" s="43"/>
      <c r="J155" s="43"/>
      <c r="K155" s="43"/>
      <c r="L155" s="43"/>
      <c r="M155" s="43"/>
      <c r="N155" s="43"/>
      <c r="O155" s="43"/>
      <c r="P155" s="43"/>
      <c r="Q155" s="43"/>
      <c r="R155" s="43"/>
      <c r="S155" s="43"/>
    </row>
    <row r="156" spans="2:19" x14ac:dyDescent="0.2">
      <c r="B156" s="32" t="str">
        <f>'General System Parameters'!B10</f>
        <v># Patches in 1st Rx</v>
      </c>
      <c r="C156" s="33">
        <f>'General System Parameters'!C10</f>
        <v>10</v>
      </c>
      <c r="F156" s="43"/>
      <c r="G156" s="43"/>
      <c r="H156" s="43"/>
      <c r="I156" s="43"/>
      <c r="J156" s="43"/>
      <c r="K156" s="43"/>
      <c r="L156" s="43"/>
      <c r="M156" s="43"/>
      <c r="N156" s="43"/>
      <c r="O156" s="43"/>
      <c r="P156" s="43"/>
      <c r="Q156" s="43"/>
      <c r="R156" s="43"/>
      <c r="S156" s="43"/>
    </row>
    <row r="157" spans="2:19" x14ac:dyDescent="0.2">
      <c r="B157" s="32" t="str">
        <f>'General System Parameters'!B11</f>
        <v># Patches in Ref (Guard) Rx</v>
      </c>
      <c r="C157" s="33">
        <f>'General System Parameters'!C11</f>
        <v>1</v>
      </c>
      <c r="F157" s="43"/>
      <c r="G157" s="43"/>
      <c r="H157" s="43"/>
      <c r="I157" s="43"/>
      <c r="J157" s="43"/>
      <c r="K157" s="43"/>
      <c r="L157" s="43"/>
      <c r="M157" s="43"/>
      <c r="N157" s="43"/>
      <c r="O157" s="43"/>
      <c r="P157" s="43"/>
      <c r="Q157" s="43"/>
      <c r="R157" s="43"/>
      <c r="S157" s="43"/>
    </row>
    <row r="158" spans="2:19" x14ac:dyDescent="0.2">
      <c r="B158" s="32" t="str">
        <f>'General System Parameters'!B12</f>
        <v>Typical System Gain (dB) - 1st Rx</v>
      </c>
      <c r="C158" s="33">
        <f>'General System Parameters'!C12</f>
        <v>59.76</v>
      </c>
      <c r="F158" s="43"/>
      <c r="G158" s="43"/>
      <c r="H158" s="43"/>
      <c r="I158" s="43"/>
      <c r="J158" s="43"/>
      <c r="K158" s="43"/>
      <c r="L158" s="43"/>
      <c r="M158" s="43"/>
      <c r="N158" s="43"/>
      <c r="O158" s="43"/>
      <c r="P158" s="43"/>
      <c r="Q158" s="43"/>
      <c r="R158" s="43"/>
      <c r="S158" s="43"/>
    </row>
    <row r="159" spans="2:19" x14ac:dyDescent="0.2">
      <c r="B159" s="32" t="str">
        <f>'General System Parameters'!B13</f>
        <v>Typical System Gain (dB) - Ref (Guard) Rx</v>
      </c>
      <c r="C159" s="33">
        <f>'General System Parameters'!C13</f>
        <v>54.1</v>
      </c>
      <c r="F159" s="43"/>
      <c r="G159" s="43"/>
      <c r="H159" s="43"/>
      <c r="I159" s="43"/>
      <c r="J159" s="43"/>
      <c r="K159" s="43"/>
      <c r="L159" s="43"/>
      <c r="M159" s="43"/>
      <c r="N159" s="43"/>
      <c r="O159" s="43"/>
      <c r="P159" s="43"/>
      <c r="Q159" s="43"/>
      <c r="R159" s="43"/>
      <c r="S159" s="43"/>
    </row>
    <row r="160" spans="2:19" x14ac:dyDescent="0.2">
      <c r="B160" s="32" t="str">
        <f>'General System Parameters'!B14</f>
        <v>Typical 1st Rx Calibration (dB)</v>
      </c>
      <c r="C160" s="33">
        <f>'General System Parameters'!C14</f>
        <v>4.3400000000000105</v>
      </c>
      <c r="F160" s="43"/>
      <c r="G160" s="43"/>
      <c r="H160" s="43"/>
      <c r="I160" s="43"/>
      <c r="J160" s="43"/>
      <c r="K160" s="43"/>
      <c r="L160" s="43"/>
      <c r="M160" s="43"/>
      <c r="N160" s="43"/>
      <c r="O160" s="43"/>
      <c r="P160" s="43"/>
      <c r="Q160" s="43"/>
      <c r="R160" s="43"/>
      <c r="S160" s="43"/>
    </row>
    <row r="161" spans="2:19" x14ac:dyDescent="0.2">
      <c r="B161" s="32" t="str">
        <f>'General System Parameters'!B15</f>
        <v>System Propagation Delay (us)</v>
      </c>
      <c r="C161" s="33">
        <f>'General System Parameters'!C15</f>
        <v>0.15</v>
      </c>
      <c r="F161" s="43"/>
      <c r="G161" s="43"/>
      <c r="H161" s="43"/>
      <c r="I161" s="43"/>
      <c r="J161" s="43"/>
      <c r="K161" s="43"/>
      <c r="L161" s="43"/>
      <c r="M161" s="43"/>
      <c r="N161" s="43"/>
      <c r="O161" s="43"/>
      <c r="P161" s="43"/>
      <c r="Q161" s="43"/>
      <c r="R161" s="43"/>
      <c r="S161" s="43"/>
    </row>
    <row r="162" spans="2:19" x14ac:dyDescent="0.2">
      <c r="B162" s="32" t="str">
        <f>'General System Parameters'!B16</f>
        <v>c (m/s)</v>
      </c>
      <c r="C162" s="33">
        <f>'General System Parameters'!C16</f>
        <v>299792458</v>
      </c>
      <c r="F162" s="43"/>
      <c r="G162" s="43"/>
      <c r="H162" s="43"/>
      <c r="I162" s="43"/>
      <c r="J162" s="43"/>
      <c r="K162" s="43"/>
      <c r="L162" s="43"/>
      <c r="M162" s="43"/>
      <c r="N162" s="43"/>
      <c r="O162" s="43"/>
      <c r="P162" s="43"/>
      <c r="Q162" s="43"/>
      <c r="R162" s="43"/>
      <c r="S162" s="43"/>
    </row>
    <row r="163" spans="2:19" x14ac:dyDescent="0.2">
      <c r="B163" s="32" t="str">
        <f>'General System Parameters'!B17</f>
        <v>c/2 (m/μs)</v>
      </c>
      <c r="C163" s="33">
        <f>'General System Parameters'!C17</f>
        <v>149.89622900000001</v>
      </c>
      <c r="F163" s="43"/>
      <c r="G163" s="43"/>
      <c r="H163" s="43"/>
      <c r="I163" s="43"/>
      <c r="J163" s="43"/>
      <c r="K163" s="43"/>
      <c r="L163" s="43"/>
      <c r="M163" s="43"/>
      <c r="N163" s="43"/>
      <c r="O163" s="43"/>
      <c r="P163" s="43"/>
      <c r="Q163" s="43"/>
      <c r="R163" s="43"/>
      <c r="S163" s="43"/>
    </row>
    <row r="164" spans="2:19" x14ac:dyDescent="0.2">
      <c r="B164" s="30" t="str">
        <f>'General System Parameters'!B18</f>
        <v>Freq (GHz)</v>
      </c>
      <c r="C164" s="31">
        <f>'General System Parameters'!C18</f>
        <v>3.5</v>
      </c>
      <c r="F164" s="43"/>
      <c r="G164" s="43"/>
      <c r="H164" s="43"/>
      <c r="I164" s="43"/>
      <c r="J164" s="43"/>
      <c r="K164" s="43"/>
      <c r="L164" s="43"/>
      <c r="M164" s="43"/>
      <c r="N164" s="43"/>
      <c r="O164" s="43"/>
      <c r="P164" s="43"/>
      <c r="Q164" s="43"/>
      <c r="R164" s="43"/>
      <c r="S164" s="43"/>
    </row>
    <row r="165" spans="2:19" x14ac:dyDescent="0.2">
      <c r="B165" s="30" t="str">
        <f>'General System Parameters'!B19</f>
        <v>Phase Noise Level (dBc/Hz)</v>
      </c>
      <c r="C165" s="31">
        <f>'General System Parameters'!C19</f>
        <v>-125</v>
      </c>
      <c r="F165" s="43"/>
      <c r="G165" s="43"/>
      <c r="H165" s="43"/>
      <c r="I165" s="43"/>
      <c r="J165" s="43"/>
      <c r="K165" s="43"/>
      <c r="L165" s="43"/>
      <c r="M165" s="43"/>
      <c r="N165" s="43"/>
      <c r="O165" s="43"/>
      <c r="P165" s="43"/>
      <c r="Q165" s="43"/>
      <c r="R165" s="43"/>
      <c r="S165" s="43"/>
    </row>
    <row r="166" spans="2:19" x14ac:dyDescent="0.2">
      <c r="B166" s="30" t="str">
        <f>'General System Parameters'!B20</f>
        <v>Polarization Loss (dB)</v>
      </c>
      <c r="C166" s="31">
        <f>'General System Parameters'!C20</f>
        <v>0</v>
      </c>
      <c r="F166" s="43"/>
      <c r="G166" s="43"/>
      <c r="H166" s="43"/>
      <c r="I166" s="43"/>
      <c r="J166" s="43"/>
      <c r="K166" s="43"/>
      <c r="L166" s="43"/>
      <c r="M166" s="43"/>
      <c r="N166" s="43"/>
      <c r="O166" s="43"/>
      <c r="P166" s="43"/>
      <c r="Q166" s="43"/>
      <c r="R166" s="43"/>
      <c r="S166" s="43"/>
    </row>
    <row r="167" spans="2:19" x14ac:dyDescent="0.2">
      <c r="B167" s="34" t="str">
        <f>'General System Parameters'!B21</f>
        <v>λ (m)</v>
      </c>
      <c r="C167" s="35">
        <f>'General System Parameters'!C21</f>
        <v>8.5654988000000001E-2</v>
      </c>
      <c r="F167" s="43"/>
      <c r="G167" s="43"/>
      <c r="H167" s="43"/>
      <c r="I167" s="43"/>
      <c r="J167" s="43"/>
      <c r="K167" s="43"/>
      <c r="L167" s="43"/>
      <c r="M167" s="43"/>
      <c r="N167" s="43"/>
      <c r="O167" s="43"/>
      <c r="P167" s="43"/>
      <c r="Q167" s="43"/>
      <c r="R167" s="43"/>
      <c r="S167" s="43"/>
    </row>
    <row r="168" spans="2:19" x14ac:dyDescent="0.2">
      <c r="B168" s="34" t="str">
        <f>'General System Parameters'!B22</f>
        <v>Doppler factor (Hz/(m/sec))</v>
      </c>
      <c r="C168" s="35">
        <f>'General System Parameters'!C22</f>
        <v>23.349486663870643</v>
      </c>
      <c r="F168" s="43"/>
      <c r="G168" s="43"/>
      <c r="H168" s="43"/>
      <c r="I168" s="43"/>
      <c r="J168" s="43"/>
      <c r="K168" s="43"/>
      <c r="L168" s="43"/>
      <c r="M168" s="43"/>
      <c r="N168" s="43"/>
      <c r="O168" s="43"/>
      <c r="P168" s="43"/>
      <c r="Q168" s="43"/>
      <c r="R168" s="43"/>
      <c r="S168" s="43"/>
    </row>
    <row r="169" spans="2:19" x14ac:dyDescent="0.2">
      <c r="B169" s="36" t="str">
        <f>'General System Parameters'!B23</f>
        <v>ALC</v>
      </c>
      <c r="C169" s="31">
        <f>'General System Parameters'!C23</f>
        <v>0</v>
      </c>
      <c r="F169" s="43"/>
      <c r="G169" s="43"/>
      <c r="H169" s="43"/>
      <c r="I169" s="43"/>
      <c r="J169" s="43"/>
      <c r="K169" s="43"/>
      <c r="L169" s="43"/>
      <c r="M169" s="43"/>
      <c r="N169" s="43"/>
      <c r="O169" s="43"/>
      <c r="P169" s="43"/>
      <c r="Q169" s="43"/>
      <c r="R169" s="43"/>
      <c r="S169" s="43"/>
    </row>
    <row r="170" spans="2:19" x14ac:dyDescent="0.2">
      <c r="B170" s="36" t="str">
        <f>'General System Parameters'!B24</f>
        <v>Actual System Gain (dB) - 1st Rx</v>
      </c>
      <c r="C170" s="31">
        <f>'General System Parameters'!C24</f>
        <v>60</v>
      </c>
      <c r="F170" s="43"/>
      <c r="G170" s="43"/>
      <c r="H170" s="43"/>
      <c r="I170" s="43"/>
      <c r="J170" s="43"/>
      <c r="K170" s="43"/>
      <c r="L170" s="43"/>
      <c r="M170" s="43"/>
      <c r="N170" s="43"/>
      <c r="O170" s="43"/>
      <c r="P170" s="43"/>
      <c r="Q170" s="43"/>
      <c r="R170" s="43"/>
      <c r="S170" s="43"/>
    </row>
    <row r="171" spans="2:19" x14ac:dyDescent="0.2">
      <c r="B171" s="36" t="str">
        <f>'General System Parameters'!B25</f>
        <v>Actual System Gain (dB) - Ref Rx</v>
      </c>
      <c r="C171" s="31">
        <f>'General System Parameters'!C25</f>
        <v>54</v>
      </c>
      <c r="F171" s="43"/>
      <c r="G171" s="43"/>
      <c r="H171" s="43"/>
      <c r="I171" s="43"/>
      <c r="J171" s="43"/>
      <c r="K171" s="43"/>
      <c r="L171" s="43"/>
      <c r="M171" s="43"/>
      <c r="N171" s="43"/>
      <c r="O171" s="43"/>
      <c r="P171" s="43"/>
      <c r="Q171" s="43"/>
      <c r="R171" s="43"/>
      <c r="S171" s="43"/>
    </row>
    <row r="172" spans="2:19" x14ac:dyDescent="0.2">
      <c r="B172" s="34" t="str">
        <f>'General System Parameters'!B26</f>
        <v>Actual 1st Rx Calibration (dB)</v>
      </c>
      <c r="C172" s="35">
        <f>'General System Parameters'!C26</f>
        <v>4</v>
      </c>
      <c r="F172" s="43"/>
      <c r="G172" s="43"/>
      <c r="H172" s="43"/>
      <c r="I172" s="43"/>
      <c r="J172" s="43"/>
      <c r="K172" s="43"/>
      <c r="L172" s="43"/>
      <c r="M172" s="43"/>
      <c r="N172" s="43"/>
      <c r="O172" s="43"/>
      <c r="P172" s="43"/>
      <c r="Q172" s="43"/>
      <c r="R172" s="43"/>
      <c r="S172" s="43"/>
    </row>
    <row r="173" spans="2:19" x14ac:dyDescent="0.2">
      <c r="B173" s="32" t="str">
        <f>'General System Parameters'!B27</f>
        <v>KT (dBm/Hz)</v>
      </c>
      <c r="C173" s="33">
        <f>'General System Parameters'!C27</f>
        <v>-174</v>
      </c>
      <c r="F173" s="43"/>
      <c r="G173" s="43"/>
      <c r="H173" s="43"/>
      <c r="I173" s="43"/>
      <c r="J173" s="43"/>
      <c r="K173" s="43"/>
      <c r="L173" s="43"/>
      <c r="M173" s="43"/>
      <c r="N173" s="43"/>
      <c r="O173" s="43"/>
      <c r="P173" s="43"/>
      <c r="Q173" s="43"/>
      <c r="R173" s="43"/>
      <c r="S173" s="43"/>
    </row>
    <row r="174" spans="2:19" x14ac:dyDescent="0.2">
      <c r="B174" s="32" t="str">
        <f>'General System Parameters'!B28</f>
        <v>Sample Period (us)</v>
      </c>
      <c r="C174" s="33">
        <f>'General System Parameters'!C28</f>
        <v>1.2500000000000001E-2</v>
      </c>
      <c r="F174" s="43"/>
      <c r="G174" s="43"/>
      <c r="H174" s="43"/>
      <c r="I174" s="43"/>
      <c r="J174" s="43"/>
      <c r="K174" s="43"/>
      <c r="L174" s="43"/>
      <c r="M174" s="43"/>
      <c r="N174" s="43"/>
      <c r="O174" s="43"/>
      <c r="P174" s="43"/>
      <c r="Q174" s="43"/>
      <c r="R174" s="43"/>
      <c r="S174" s="43"/>
    </row>
    <row r="175" spans="2:19" x14ac:dyDescent="0.2">
      <c r="B175" s="37" t="str">
        <f>'General System Parameters'!B29</f>
        <v>ADC Bandwidth (MHz)</v>
      </c>
      <c r="C175" s="35">
        <f>'General System Parameters'!C29</f>
        <v>40</v>
      </c>
      <c r="F175" s="43"/>
      <c r="G175" s="43"/>
      <c r="H175" s="43"/>
      <c r="I175" s="43"/>
      <c r="J175" s="43"/>
      <c r="K175" s="43"/>
      <c r="L175" s="43"/>
      <c r="M175" s="43"/>
      <c r="N175" s="43"/>
      <c r="O175" s="43"/>
      <c r="P175" s="43"/>
      <c r="Q175" s="43"/>
      <c r="R175" s="43"/>
      <c r="S175" s="43"/>
    </row>
    <row r="176" spans="2:19" x14ac:dyDescent="0.2">
      <c r="B176" s="32" t="str">
        <f>'General System Parameters'!B30</f>
        <v>ADC Noise Level (dBm)</v>
      </c>
      <c r="C176" s="33">
        <f>'General System Parameters'!C30</f>
        <v>-65</v>
      </c>
      <c r="F176" s="43"/>
      <c r="G176" s="43"/>
      <c r="H176" s="43"/>
      <c r="I176" s="43"/>
      <c r="J176" s="43"/>
      <c r="K176" s="43"/>
      <c r="L176" s="43"/>
      <c r="M176" s="43"/>
      <c r="N176" s="43"/>
      <c r="O176" s="43"/>
      <c r="P176" s="43"/>
      <c r="Q176" s="43"/>
      <c r="R176" s="43"/>
      <c r="S176" s="43"/>
    </row>
    <row r="177" spans="2:19" x14ac:dyDescent="0.2">
      <c r="B177" s="32" t="str">
        <f>'General System Parameters'!B31</f>
        <v>Tapering Signal Gain Loss (dB) - 1st Rx</v>
      </c>
      <c r="C177" s="33">
        <f>'General System Parameters'!C31</f>
        <v>3.51</v>
      </c>
      <c r="F177" s="43"/>
      <c r="G177" s="43"/>
      <c r="H177" s="43"/>
      <c r="I177" s="43"/>
      <c r="J177" s="43"/>
      <c r="K177" s="43"/>
      <c r="L177" s="43"/>
      <c r="M177" s="43"/>
      <c r="N177" s="43"/>
      <c r="O177" s="43"/>
      <c r="P177" s="43"/>
      <c r="Q177" s="43"/>
      <c r="R177" s="43"/>
      <c r="S177" s="43"/>
    </row>
    <row r="178" spans="2:19" x14ac:dyDescent="0.2">
      <c r="B178" s="32" t="str">
        <f>'General System Parameters'!B32</f>
        <v>Tapering Noise Gain Loss (dB) - 1st Rx</v>
      </c>
      <c r="C178" s="33">
        <f>'General System Parameters'!C32</f>
        <v>3.1337000000000002</v>
      </c>
      <c r="F178" s="43"/>
      <c r="G178" s="43"/>
      <c r="H178" s="43"/>
      <c r="I178" s="43"/>
      <c r="J178" s="43"/>
      <c r="K178" s="43"/>
      <c r="L178" s="43"/>
      <c r="M178" s="43"/>
      <c r="N178" s="43"/>
      <c r="O178" s="43"/>
      <c r="P178" s="43"/>
      <c r="Q178" s="43"/>
      <c r="R178" s="43"/>
      <c r="S178" s="43"/>
    </row>
    <row r="179" spans="2:19" x14ac:dyDescent="0.2">
      <c r="B179" s="32" t="str">
        <f>'General System Parameters'!B33</f>
        <v>Tapering Signal Gain Loss (dB) - Ref (Guard) Rx</v>
      </c>
      <c r="C179" s="33">
        <f>'General System Parameters'!C33</f>
        <v>0</v>
      </c>
      <c r="F179" s="43"/>
      <c r="G179" s="43"/>
      <c r="H179" s="43"/>
      <c r="I179" s="43"/>
      <c r="J179" s="43"/>
      <c r="K179" s="43"/>
      <c r="L179" s="43"/>
      <c r="M179" s="43"/>
      <c r="N179" s="43"/>
      <c r="O179" s="43"/>
      <c r="P179" s="43"/>
      <c r="Q179" s="43"/>
      <c r="R179" s="43"/>
      <c r="S179" s="43"/>
    </row>
    <row r="180" spans="2:19" x14ac:dyDescent="0.2">
      <c r="B180" s="32" t="str">
        <f>'General System Parameters'!B34</f>
        <v>Tapering Noise Gain Loss (dB) - Ref (Guard) Rx</v>
      </c>
      <c r="C180" s="33">
        <f>'General System Parameters'!C34</f>
        <v>0</v>
      </c>
      <c r="F180" s="43"/>
      <c r="G180" s="43"/>
      <c r="H180" s="43"/>
      <c r="I180" s="43"/>
      <c r="J180" s="43"/>
      <c r="K180" s="43"/>
      <c r="L180" s="43"/>
      <c r="M180" s="43"/>
      <c r="N180" s="43"/>
      <c r="O180" s="43"/>
      <c r="P180" s="43"/>
      <c r="Q180" s="43"/>
      <c r="R180" s="43"/>
      <c r="S180" s="43"/>
    </row>
    <row r="181" spans="2:19" x14ac:dyDescent="0.2">
      <c r="B181" s="37" t="str">
        <f>'General System Parameters'!B35</f>
        <v>Tapering Rx Loss (dB)</v>
      </c>
      <c r="C181" s="35">
        <f>'General System Parameters'!C35</f>
        <v>0.37629999999999963</v>
      </c>
      <c r="F181" s="43"/>
      <c r="G181" s="43"/>
      <c r="H181" s="43"/>
      <c r="I181" s="43"/>
      <c r="J181" s="43"/>
      <c r="K181" s="43"/>
      <c r="L181" s="43"/>
      <c r="M181" s="43"/>
      <c r="N181" s="43"/>
      <c r="O181" s="43"/>
      <c r="P181" s="43"/>
      <c r="Q181" s="43"/>
      <c r="R181" s="43"/>
      <c r="S181" s="43"/>
    </row>
    <row r="182" spans="2:19" x14ac:dyDescent="0.2">
      <c r="B182" s="30" t="str">
        <f>'General System Parameters'!B36</f>
        <v>Number of T/R modules</v>
      </c>
      <c r="C182" s="31">
        <f>'General System Parameters'!C36</f>
        <v>41</v>
      </c>
      <c r="F182" s="43"/>
      <c r="G182" s="43"/>
      <c r="H182" s="43"/>
      <c r="I182" s="43"/>
      <c r="J182" s="43"/>
      <c r="K182" s="43"/>
      <c r="L182" s="43"/>
      <c r="M182" s="43"/>
      <c r="N182" s="43"/>
      <c r="O182" s="43"/>
      <c r="P182" s="43"/>
      <c r="Q182" s="43"/>
      <c r="R182" s="43"/>
      <c r="S182" s="43"/>
    </row>
    <row r="183" spans="2:19" x14ac:dyDescent="0.2">
      <c r="B183" s="30" t="str">
        <f>'General System Parameters'!B37</f>
        <v>Power per T/R module</v>
      </c>
      <c r="C183" s="31">
        <f>'General System Parameters'!C37</f>
        <v>10</v>
      </c>
      <c r="F183" s="43"/>
      <c r="G183" s="43"/>
      <c r="H183" s="43"/>
      <c r="I183" s="43"/>
      <c r="J183" s="43"/>
      <c r="K183" s="43"/>
      <c r="L183" s="43"/>
      <c r="M183" s="43"/>
      <c r="N183" s="43"/>
      <c r="O183" s="43"/>
      <c r="P183" s="43"/>
      <c r="Q183" s="43"/>
      <c r="R183" s="43"/>
      <c r="S183" s="43"/>
    </row>
    <row r="184" spans="2:19" x14ac:dyDescent="0.2">
      <c r="B184" s="30" t="str">
        <f>'General System Parameters'!B38</f>
        <v>Gain per T/R module [dB]</v>
      </c>
      <c r="C184" s="31">
        <f>'General System Parameters'!C38</f>
        <v>5</v>
      </c>
      <c r="F184" s="43"/>
      <c r="G184" s="43"/>
      <c r="H184" s="43"/>
      <c r="I184" s="43"/>
      <c r="J184" s="43"/>
      <c r="K184" s="43"/>
      <c r="L184" s="43"/>
      <c r="M184" s="43"/>
      <c r="N184" s="43"/>
      <c r="O184" s="43"/>
      <c r="P184" s="43"/>
      <c r="Q184" s="43"/>
      <c r="R184" s="43"/>
      <c r="S184" s="43"/>
    </row>
    <row r="185" spans="2:19" x14ac:dyDescent="0.2">
      <c r="B185" s="37" t="str">
        <f>'General System Parameters'!B39</f>
        <v>Available Power (dBm)</v>
      </c>
      <c r="C185" s="35">
        <f>'General System Parameters'!C39</f>
        <v>56.127838567197358</v>
      </c>
      <c r="F185" s="43"/>
      <c r="G185" s="43"/>
      <c r="H185" s="43"/>
      <c r="I185" s="43"/>
      <c r="J185" s="43"/>
      <c r="K185" s="43"/>
      <c r="L185" s="43"/>
      <c r="M185" s="43"/>
      <c r="N185" s="43"/>
      <c r="O185" s="43"/>
      <c r="P185" s="43"/>
      <c r="Q185" s="43"/>
      <c r="R185" s="43"/>
      <c r="S185" s="43"/>
    </row>
    <row r="186" spans="2:19" x14ac:dyDescent="0.2">
      <c r="B186" s="37" t="str">
        <f>'General System Parameters'!B40</f>
        <v>Gt,Gr</v>
      </c>
      <c r="C186" s="35">
        <f>'General System Parameters'!C40</f>
        <v>21.127838567197355</v>
      </c>
      <c r="F186" s="43"/>
      <c r="G186" s="43"/>
      <c r="H186" s="43"/>
      <c r="I186" s="43"/>
      <c r="J186" s="43"/>
      <c r="K186" s="43"/>
      <c r="L186" s="43"/>
      <c r="M186" s="43"/>
      <c r="N186" s="43"/>
      <c r="O186" s="43"/>
      <c r="P186" s="43"/>
      <c r="Q186" s="43"/>
      <c r="R186" s="43"/>
      <c r="S186" s="43"/>
    </row>
    <row r="187" spans="2:19" x14ac:dyDescent="0.2">
      <c r="B187" s="37" t="str">
        <f>'General System Parameters'!B41</f>
        <v>Gr - 1st Rx</v>
      </c>
      <c r="C187" s="35">
        <f>'General System Parameters'!C41</f>
        <v>15</v>
      </c>
      <c r="F187" s="43"/>
      <c r="G187" s="43"/>
      <c r="H187" s="43"/>
      <c r="I187" s="43"/>
      <c r="J187" s="43"/>
      <c r="K187" s="43"/>
      <c r="L187" s="43"/>
      <c r="M187" s="43"/>
      <c r="N187" s="43"/>
      <c r="O187" s="43"/>
      <c r="P187" s="43"/>
      <c r="Q187" s="43"/>
      <c r="R187" s="43"/>
      <c r="S187" s="43"/>
    </row>
    <row r="188" spans="2:19" x14ac:dyDescent="0.2">
      <c r="B188" s="37" t="str">
        <f>'General System Parameters'!B42</f>
        <v>Gr - Ref (Guard) Rx</v>
      </c>
      <c r="C188" s="35">
        <f>'General System Parameters'!C42</f>
        <v>5</v>
      </c>
      <c r="F188" s="43"/>
      <c r="G188" s="43"/>
      <c r="H188" s="43"/>
      <c r="I188" s="43"/>
      <c r="J188" s="43"/>
      <c r="K188" s="43"/>
      <c r="L188" s="43"/>
      <c r="M188" s="43"/>
      <c r="N188" s="43"/>
      <c r="O188" s="43"/>
      <c r="P188" s="43"/>
      <c r="Q188" s="43"/>
      <c r="R188" s="43"/>
      <c r="S188" s="43"/>
    </row>
    <row r="189" spans="2:19" x14ac:dyDescent="0.2">
      <c r="B189" s="37" t="str">
        <f>'General System Parameters'!B43</f>
        <v>λ2 (dB/m2)</v>
      </c>
      <c r="C189" s="35">
        <f>'General System Parameters'!C43</f>
        <v>-21.344946828446961</v>
      </c>
      <c r="F189" s="43"/>
      <c r="G189" s="43"/>
      <c r="H189" s="43"/>
      <c r="I189" s="43"/>
      <c r="J189" s="43"/>
      <c r="K189" s="43"/>
      <c r="L189" s="43"/>
      <c r="M189" s="43"/>
      <c r="N189" s="43"/>
      <c r="O189" s="43"/>
      <c r="P189" s="43"/>
      <c r="Q189" s="43"/>
      <c r="R189" s="43"/>
      <c r="S189" s="43"/>
    </row>
    <row r="190" spans="2:19" x14ac:dyDescent="0.2">
      <c r="B190" s="34" t="str">
        <f>'General System Parameters'!B44</f>
        <v>(4p)^3 (dB)</v>
      </c>
      <c r="C190" s="35">
        <f>'General System Parameters'!C44</f>
        <v>32.976295920662885</v>
      </c>
      <c r="F190" s="43"/>
      <c r="G190" s="43"/>
      <c r="H190" s="43"/>
      <c r="I190" s="43"/>
      <c r="J190" s="43"/>
      <c r="K190" s="43"/>
      <c r="L190" s="43"/>
      <c r="M190" s="43"/>
      <c r="N190" s="43"/>
      <c r="O190" s="43"/>
      <c r="P190" s="43"/>
      <c r="Q190" s="43"/>
      <c r="R190" s="43"/>
      <c r="S190" s="43"/>
    </row>
    <row r="191" spans="2:19" x14ac:dyDescent="0.2">
      <c r="B191" s="34" t="str">
        <f>'General System Parameters'!B45</f>
        <v>Miscellaneous Losses (dB)</v>
      </c>
      <c r="C191" s="35">
        <f>'General System Parameters'!C45</f>
        <v>0</v>
      </c>
      <c r="F191" s="43"/>
      <c r="G191" s="43"/>
      <c r="H191" s="43"/>
      <c r="I191" s="43"/>
      <c r="J191" s="43"/>
      <c r="K191" s="43"/>
      <c r="L191" s="43"/>
      <c r="M191" s="43"/>
      <c r="N191" s="43"/>
      <c r="O191" s="43"/>
      <c r="P191" s="43"/>
      <c r="Q191" s="43"/>
      <c r="R191" s="43"/>
      <c r="S191" s="43"/>
    </row>
    <row r="192" spans="2:19" x14ac:dyDescent="0.2">
      <c r="B192" s="36" t="str">
        <f>'General System Parameters'!B46</f>
        <v>FFT Window: BH</v>
      </c>
      <c r="C192" s="31" t="str">
        <f>'General System Parameters'!C46</f>
        <v>BH</v>
      </c>
      <c r="F192" s="43"/>
      <c r="G192" s="43"/>
      <c r="H192" s="43"/>
      <c r="I192" s="43"/>
      <c r="J192" s="43"/>
      <c r="K192" s="43"/>
      <c r="L192" s="43"/>
      <c r="M192" s="43"/>
      <c r="N192" s="43"/>
      <c r="O192" s="43"/>
      <c r="P192" s="43"/>
      <c r="Q192" s="43"/>
      <c r="R192" s="43"/>
      <c r="S192" s="43"/>
    </row>
    <row r="193" spans="2:19" x14ac:dyDescent="0.2">
      <c r="B193" s="34" t="str">
        <f>'General System Parameters'!B47</f>
        <v>Signal Gain Loss (dB)</v>
      </c>
      <c r="C193" s="35">
        <f>'General System Parameters'!C47</f>
        <v>8.9499999999999993</v>
      </c>
      <c r="F193" s="43"/>
      <c r="G193" s="43"/>
      <c r="H193" s="43"/>
      <c r="I193" s="43"/>
      <c r="J193" s="43"/>
      <c r="K193" s="43"/>
      <c r="L193" s="43"/>
      <c r="M193" s="43"/>
      <c r="N193" s="43"/>
      <c r="O193" s="43"/>
      <c r="P193" s="43"/>
      <c r="Q193" s="43"/>
      <c r="R193" s="43"/>
      <c r="S193" s="43"/>
    </row>
    <row r="194" spans="2:19" x14ac:dyDescent="0.2">
      <c r="B194" s="34" t="str">
        <f>'General System Parameters'!B48</f>
        <v>Noise Gain Loss (dB)</v>
      </c>
      <c r="C194" s="35">
        <f>'General System Parameters'!C48</f>
        <v>5.9</v>
      </c>
      <c r="F194" s="43"/>
      <c r="G194" s="43"/>
      <c r="H194" s="43"/>
      <c r="I194" s="43"/>
      <c r="J194" s="43"/>
      <c r="K194" s="43"/>
      <c r="L194" s="43"/>
      <c r="M194" s="43"/>
      <c r="N194" s="43"/>
      <c r="O194" s="43"/>
      <c r="P194" s="43"/>
      <c r="Q194" s="43"/>
      <c r="R194" s="43"/>
      <c r="S194" s="43"/>
    </row>
    <row r="195" spans="2:19" x14ac:dyDescent="0.2">
      <c r="B195" s="34" t="str">
        <f>'General System Parameters'!B49</f>
        <v>Normalized ENBW (dB)</v>
      </c>
      <c r="C195" s="35">
        <f>'General System Parameters'!C49</f>
        <v>3.0499999999999989</v>
      </c>
      <c r="F195" s="43"/>
      <c r="G195" s="43"/>
      <c r="H195" s="43"/>
      <c r="I195" s="43"/>
      <c r="J195" s="43"/>
      <c r="K195" s="43"/>
      <c r="L195" s="43"/>
      <c r="M195" s="43"/>
      <c r="N195" s="43"/>
      <c r="O195" s="43"/>
      <c r="P195" s="43"/>
      <c r="Q195" s="43"/>
      <c r="R195" s="43"/>
      <c r="S195" s="43"/>
    </row>
    <row r="196" spans="2:19" x14ac:dyDescent="0.2">
      <c r="B196" s="34" t="str">
        <f>'General System Parameters'!B50</f>
        <v>Window 3dB BW (bins)</v>
      </c>
      <c r="C196" s="35">
        <f>'General System Parameters'!C50</f>
        <v>1.9</v>
      </c>
      <c r="F196" s="43"/>
      <c r="G196" s="43"/>
      <c r="H196" s="43"/>
      <c r="I196" s="43"/>
      <c r="J196" s="43"/>
      <c r="K196" s="43"/>
      <c r="L196" s="43"/>
      <c r="M196" s="43"/>
      <c r="N196" s="43"/>
      <c r="O196" s="43"/>
      <c r="P196" s="43"/>
      <c r="Q196" s="43"/>
      <c r="R196" s="43"/>
      <c r="S196" s="43"/>
    </row>
    <row r="197" spans="2:19" x14ac:dyDescent="0.2">
      <c r="B197" s="34" t="str">
        <f>'General System Parameters'!B51</f>
        <v>Window 6dB BW (bins)</v>
      </c>
      <c r="C197" s="35">
        <f>'General System Parameters'!C51</f>
        <v>2.72</v>
      </c>
      <c r="F197" s="43"/>
      <c r="G197" s="43"/>
      <c r="H197" s="43"/>
      <c r="I197" s="43"/>
      <c r="J197" s="43"/>
      <c r="K197" s="43"/>
      <c r="L197" s="43"/>
      <c r="M197" s="43"/>
      <c r="N197" s="43"/>
      <c r="O197" s="43"/>
      <c r="P197" s="43"/>
      <c r="Q197" s="43"/>
      <c r="R197" s="43"/>
      <c r="S197" s="43"/>
    </row>
    <row r="198" spans="2:19" x14ac:dyDescent="0.2">
      <c r="B198" s="34" t="str">
        <f>'General System Parameters'!B52</f>
        <v>Scallop Loss (dB)</v>
      </c>
      <c r="C198" s="35">
        <f>'General System Parameters'!C52</f>
        <v>0.41278500000000001</v>
      </c>
      <c r="F198" s="43"/>
      <c r="G198" s="43"/>
      <c r="H198" s="43"/>
      <c r="I198" s="43"/>
      <c r="J198" s="43"/>
      <c r="K198" s="43"/>
      <c r="L198" s="43"/>
      <c r="M198" s="43"/>
      <c r="N198" s="43"/>
      <c r="O198" s="43"/>
      <c r="P198" s="43"/>
      <c r="Q198" s="43"/>
      <c r="R198" s="43"/>
      <c r="S198" s="43"/>
    </row>
    <row r="199" spans="2:19" x14ac:dyDescent="0.2">
      <c r="B199" s="32" t="str">
        <f>'General System Parameters'!B53</f>
        <v>Rectangular 6dB BW (bins)</v>
      </c>
      <c r="C199" s="33">
        <f>'General System Parameters'!C53</f>
        <v>1.21</v>
      </c>
      <c r="F199" s="43"/>
      <c r="G199" s="43"/>
      <c r="H199" s="43"/>
      <c r="I199" s="43"/>
      <c r="J199" s="43"/>
      <c r="K199" s="43"/>
      <c r="L199" s="43"/>
      <c r="M199" s="43"/>
      <c r="N199" s="43"/>
      <c r="O199" s="43"/>
      <c r="P199" s="43"/>
      <c r="Q199" s="43"/>
      <c r="R199" s="43"/>
      <c r="S199" s="43"/>
    </row>
    <row r="200" spans="2:19" x14ac:dyDescent="0.2">
      <c r="B200" s="34" t="str">
        <f>'General System Parameters'!B54</f>
        <v>Window Peak Spreading (bins)</v>
      </c>
      <c r="C200" s="35">
        <f>'General System Parameters'!C54</f>
        <v>9</v>
      </c>
      <c r="F200" s="43"/>
      <c r="G200" s="43"/>
      <c r="H200" s="43"/>
      <c r="I200" s="43"/>
      <c r="J200" s="43"/>
      <c r="K200" s="43"/>
      <c r="L200" s="43"/>
      <c r="M200" s="43"/>
      <c r="N200" s="43"/>
      <c r="O200" s="43"/>
      <c r="P200" s="43"/>
      <c r="Q200" s="43"/>
      <c r="R200" s="43"/>
      <c r="S200" s="43"/>
    </row>
    <row r="201" spans="2:19" x14ac:dyDescent="0.2">
      <c r="B201" s="36" t="str">
        <f>'General System Parameters'!B55</f>
        <v>#samples for noise estimation</v>
      </c>
      <c r="C201" s="31">
        <f>'General System Parameters'!C55</f>
        <v>12</v>
      </c>
      <c r="F201" s="43"/>
      <c r="G201" s="43"/>
      <c r="H201" s="43"/>
      <c r="I201" s="43"/>
      <c r="J201" s="43"/>
      <c r="K201" s="43"/>
      <c r="L201" s="43"/>
      <c r="M201" s="43"/>
      <c r="N201" s="43"/>
      <c r="O201" s="43"/>
      <c r="P201" s="43"/>
      <c r="Q201" s="43"/>
      <c r="R201" s="43"/>
      <c r="S201" s="43"/>
    </row>
    <row r="202" spans="2:19" x14ac:dyDescent="0.2">
      <c r="B202" s="34" t="str">
        <f>'General System Parameters'!B56</f>
        <v>Straddling Loss (dB) - w/o OL</v>
      </c>
      <c r="C202" s="35">
        <f>'General System Parameters'!C56</f>
        <v>3</v>
      </c>
    </row>
    <row r="203" spans="2:19" x14ac:dyDescent="0.2">
      <c r="B203" s="34" t="str">
        <f>'General System Parameters'!B57</f>
        <v>Straddling Loss (dB) - with 50% OL</v>
      </c>
      <c r="C203" s="35">
        <f>'General System Parameters'!C57</f>
        <v>1.25</v>
      </c>
    </row>
    <row r="204" spans="2:19" x14ac:dyDescent="0.2">
      <c r="B204" s="30" t="str">
        <f>'General System Parameters'!B58</f>
        <v>Freq Desynchronization factor (ppb)</v>
      </c>
      <c r="C204" s="31">
        <f>'General System Parameters'!C58</f>
        <v>5</v>
      </c>
    </row>
    <row r="205" spans="2:19" x14ac:dyDescent="0.2">
      <c r="B205" s="34" t="str">
        <f>'General System Parameters'!B59</f>
        <v>Freq Desynchronization factor (Hz)</v>
      </c>
      <c r="C205" s="35">
        <f>'General System Parameters'!C59</f>
        <v>17.5</v>
      </c>
    </row>
    <row r="206" spans="2:19" x14ac:dyDescent="0.2">
      <c r="B206" s="34" t="str">
        <f>'General System Parameters'!B60</f>
        <v>Freq Desynchronization factor (m/s)</v>
      </c>
      <c r="C206" s="35">
        <f>'General System Parameters'!C60</f>
        <v>0.74948114500000007</v>
      </c>
    </row>
    <row r="207" spans="2:19" x14ac:dyDescent="0.2">
      <c r="B207" s="30" t="str">
        <f>'General System Parameters'!B61</f>
        <v>Time Desynchronization factor (ppm)</v>
      </c>
      <c r="C207" s="31">
        <f>'General System Parameters'!C61</f>
        <v>0.2</v>
      </c>
    </row>
    <row r="208" spans="2:19" x14ac:dyDescent="0.2">
      <c r="B208" s="30" t="str">
        <f>'General System Parameters'!B62</f>
        <v>Synchronization window per seq (μs)</v>
      </c>
      <c r="C208" s="31">
        <f>'General System Parameters'!C62</f>
        <v>0.1</v>
      </c>
    </row>
    <row r="209" spans="2:3" x14ac:dyDescent="0.2">
      <c r="B209" s="117" t="str">
        <f>'General System Parameters'!B63</f>
        <v>#RG in Optimized Mode (one side)</v>
      </c>
      <c r="C209" s="118">
        <f>'General System Parameters'!C63</f>
        <v>7</v>
      </c>
    </row>
    <row r="210" spans="2:3" x14ac:dyDescent="0.2">
      <c r="B210" s="30" t="str">
        <f>'General System Parameters'!B64</f>
        <v>Total #RG in Optimized Mode</v>
      </c>
      <c r="C210" s="31">
        <f>'General System Parameters'!C64</f>
        <v>15</v>
      </c>
    </row>
  </sheetData>
  <mergeCells count="4">
    <mergeCell ref="B150:D150"/>
    <mergeCell ref="C1:D1"/>
    <mergeCell ref="E1:T1"/>
    <mergeCell ref="B145:D145"/>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02"/>
  <sheetViews>
    <sheetView workbookViewId="0">
      <selection activeCell="A22" sqref="A22:XFD22"/>
    </sheetView>
  </sheetViews>
  <sheetFormatPr defaultColWidth="9.125" defaultRowHeight="14.25" x14ac:dyDescent="0.2"/>
  <cols>
    <col min="1" max="1" width="20.25" style="6" bestFit="1" customWidth="1"/>
    <col min="2" max="2" width="40.625" style="6" bestFit="1" customWidth="1"/>
    <col min="3" max="3" width="11.375" style="92" bestFit="1" customWidth="1"/>
    <col min="4" max="16384" width="9.125" style="6"/>
  </cols>
  <sheetData>
    <row r="1" spans="1:3" ht="31.5" customHeight="1" x14ac:dyDescent="0.2">
      <c r="A1" s="113" t="s">
        <v>37</v>
      </c>
      <c r="B1" s="114" t="s">
        <v>62</v>
      </c>
      <c r="C1" s="88" t="s">
        <v>83</v>
      </c>
    </row>
    <row r="2" spans="1:3" s="22" customFormat="1" x14ac:dyDescent="0.2">
      <c r="B2" s="54"/>
      <c r="C2" s="89"/>
    </row>
    <row r="3" spans="1:3" s="4" customFormat="1" ht="15" x14ac:dyDescent="0.2">
      <c r="A3" s="90" t="s">
        <v>210</v>
      </c>
      <c r="B3" s="44" t="str">
        <f>'Parameters List'!B3</f>
        <v>Proc. Chan. 1 - Steers Definition</v>
      </c>
      <c r="C3" s="91">
        <v>3</v>
      </c>
    </row>
    <row r="4" spans="1:3" s="4" customFormat="1" x14ac:dyDescent="0.2">
      <c r="A4" s="90" t="s">
        <v>206</v>
      </c>
      <c r="B4" s="48" t="str">
        <f>'Parameters List'!B4</f>
        <v>Antenna Number (1 or 2)</v>
      </c>
      <c r="C4" s="91" t="s">
        <v>78</v>
      </c>
    </row>
    <row r="5" spans="1:3" s="4" customFormat="1" x14ac:dyDescent="0.2">
      <c r="A5" s="90" t="s">
        <v>212</v>
      </c>
      <c r="B5" s="48" t="str">
        <f>'Parameters List'!B5</f>
        <v>Steer Az (clockwise - positive)</v>
      </c>
      <c r="C5" s="91" t="s">
        <v>78</v>
      </c>
    </row>
    <row r="6" spans="1:3" s="4" customFormat="1" x14ac:dyDescent="0.2">
      <c r="A6" s="90" t="s">
        <v>207</v>
      </c>
      <c r="B6" s="48" t="str">
        <f>'Parameters List'!B6</f>
        <v>Steer El (up - positive)</v>
      </c>
      <c r="C6" s="91" t="s">
        <v>78</v>
      </c>
    </row>
    <row r="7" spans="1:3" s="4" customFormat="1" x14ac:dyDescent="0.2">
      <c r="B7" s="52"/>
      <c r="C7" s="92"/>
    </row>
    <row r="8" spans="1:3" s="4" customFormat="1" ht="15" x14ac:dyDescent="0.2">
      <c r="A8" s="90" t="s">
        <v>211</v>
      </c>
      <c r="B8" s="44" t="str">
        <f>'Parameters List'!B8</f>
        <v>Proc. Chan. 2 - Steers Definition</v>
      </c>
      <c r="C8" s="91">
        <v>3</v>
      </c>
    </row>
    <row r="9" spans="1:3" s="4" customFormat="1" x14ac:dyDescent="0.2">
      <c r="A9" s="90" t="s">
        <v>208</v>
      </c>
      <c r="B9" s="48" t="str">
        <f>'Parameters List'!B9</f>
        <v>Antenna Number (1 or 2)</v>
      </c>
      <c r="C9" s="91" t="s">
        <v>78</v>
      </c>
    </row>
    <row r="10" spans="1:3" s="4" customFormat="1" x14ac:dyDescent="0.2">
      <c r="A10" s="90" t="s">
        <v>213</v>
      </c>
      <c r="B10" s="48" t="str">
        <f>'Parameters List'!B10</f>
        <v>Steer Az (clockwise - positive)</v>
      </c>
      <c r="C10" s="91" t="s">
        <v>78</v>
      </c>
    </row>
    <row r="11" spans="1:3" s="4" customFormat="1" x14ac:dyDescent="0.2">
      <c r="A11" s="90" t="s">
        <v>209</v>
      </c>
      <c r="B11" s="48" t="str">
        <f>'Parameters List'!B11</f>
        <v>Steer El (up - positive)</v>
      </c>
      <c r="C11" s="91" t="s">
        <v>78</v>
      </c>
    </row>
    <row r="12" spans="1:3" s="43" customFormat="1" x14ac:dyDescent="0.2">
      <c r="B12" s="54"/>
      <c r="C12" s="89"/>
    </row>
    <row r="13" spans="1:3" x14ac:dyDescent="0.2">
      <c r="A13" s="90" t="s">
        <v>41</v>
      </c>
      <c r="B13" s="56" t="str">
        <f>'Parameters List'!B13</f>
        <v>Processing Channel Number (1 or 2)</v>
      </c>
      <c r="C13" s="93" t="s">
        <v>77</v>
      </c>
    </row>
    <row r="14" spans="1:3" x14ac:dyDescent="0.2">
      <c r="A14" s="90" t="s">
        <v>40</v>
      </c>
      <c r="B14" s="56" t="str">
        <f>'Parameters List'!B14</f>
        <v>Beam type (relative to processing channel)</v>
      </c>
      <c r="C14" s="93" t="s">
        <v>77</v>
      </c>
    </row>
    <row r="15" spans="1:3" x14ac:dyDescent="0.2">
      <c r="A15" s="90" t="s">
        <v>44</v>
      </c>
      <c r="B15" s="56" t="str">
        <f>'Parameters List'!B15</f>
        <v>Stagger number (1 or 2)</v>
      </c>
      <c r="C15" s="91" t="s">
        <v>77</v>
      </c>
    </row>
    <row r="16" spans="1:3" x14ac:dyDescent="0.2">
      <c r="A16" s="90" t="s">
        <v>45</v>
      </c>
      <c r="B16" s="56" t="str">
        <f>'Parameters List'!B16</f>
        <v>Receiving Patch Group (1 or 2)</v>
      </c>
      <c r="C16" s="91" t="s">
        <v>77</v>
      </c>
    </row>
    <row r="17" spans="1:3" x14ac:dyDescent="0.2">
      <c r="A17" s="90" t="s">
        <v>203</v>
      </c>
      <c r="B17" s="56" t="str">
        <f>'Parameters List'!B17</f>
        <v>Tracking (0 or 1)</v>
      </c>
      <c r="C17" s="91" t="s">
        <v>77</v>
      </c>
    </row>
    <row r="18" spans="1:3" x14ac:dyDescent="0.2">
      <c r="A18" s="90" t="s">
        <v>516</v>
      </c>
      <c r="B18" s="56" t="str">
        <f>'Parameters List'!B18</f>
        <v>Stagger PRI Sequence (Chip Units)</v>
      </c>
      <c r="C18" s="91" t="s">
        <v>77</v>
      </c>
    </row>
    <row r="19" spans="1:3" s="43" customFormat="1" ht="15" x14ac:dyDescent="0.2">
      <c r="B19" s="41" t="str">
        <f>'Parameters List'!B19</f>
        <v>MHR XMLver5.15</v>
      </c>
      <c r="C19" s="89"/>
    </row>
    <row r="20" spans="1:3" x14ac:dyDescent="0.2">
      <c r="A20" s="90" t="s">
        <v>66</v>
      </c>
      <c r="B20" s="61" t="str">
        <f>'Parameters List'!B20</f>
        <v>P-State Name</v>
      </c>
      <c r="C20" s="91" t="s">
        <v>78</v>
      </c>
    </row>
    <row r="21" spans="1:3" x14ac:dyDescent="0.2">
      <c r="A21" s="90" t="s">
        <v>491</v>
      </c>
      <c r="B21" s="103" t="str">
        <f>'Parameters List'!B21</f>
        <v>Apply RG Optimization</v>
      </c>
      <c r="C21" s="91" t="s">
        <v>78</v>
      </c>
    </row>
    <row r="22" spans="1:3" x14ac:dyDescent="0.2">
      <c r="A22" s="90" t="s">
        <v>268</v>
      </c>
      <c r="B22" s="63" t="str">
        <f>'Parameters List'!B22</f>
        <v>Sequential Repetition</v>
      </c>
      <c r="C22" s="91" t="s">
        <v>78</v>
      </c>
    </row>
    <row r="23" spans="1:3" x14ac:dyDescent="0.2">
      <c r="A23" s="90" t="s">
        <v>87</v>
      </c>
      <c r="B23" s="63" t="str">
        <f>'Parameters List'!B23</f>
        <v>Max Dets to process</v>
      </c>
      <c r="C23" s="91" t="s">
        <v>78</v>
      </c>
    </row>
    <row r="24" spans="1:3" x14ac:dyDescent="0.2">
      <c r="B24" s="66" t="str">
        <f>'Parameters List'!B24</f>
        <v>Number of Steers</v>
      </c>
      <c r="C24" s="91"/>
    </row>
    <row r="25" spans="1:3" x14ac:dyDescent="0.2">
      <c r="B25" s="66" t="str">
        <f>'Parameters List'!B25</f>
        <v>Number of Beam Types</v>
      </c>
      <c r="C25" s="91"/>
    </row>
    <row r="26" spans="1:3" x14ac:dyDescent="0.2">
      <c r="A26" s="90" t="s">
        <v>76</v>
      </c>
      <c r="B26" s="66" t="str">
        <f>'Parameters List'!B26</f>
        <v>Number of Beams</v>
      </c>
      <c r="C26" s="91"/>
    </row>
    <row r="27" spans="1:3" x14ac:dyDescent="0.2">
      <c r="A27" s="20"/>
      <c r="B27" s="66" t="str">
        <f>'Parameters List'!B27</f>
        <v>Number of Beams at Antenna1</v>
      </c>
      <c r="C27" s="91"/>
    </row>
    <row r="28" spans="1:3" x14ac:dyDescent="0.2">
      <c r="A28" s="20"/>
      <c r="B28" s="66" t="str">
        <f>'Parameters List'!B28</f>
        <v>Number of Beams at Antenna2</v>
      </c>
      <c r="C28" s="91"/>
    </row>
    <row r="29" spans="1:3" x14ac:dyDescent="0.2">
      <c r="A29" s="90" t="s">
        <v>46</v>
      </c>
      <c r="B29" s="63" t="str">
        <f>'Parameters List'!B29</f>
        <v>Desired CPI (ms)</v>
      </c>
      <c r="C29" s="91" t="s">
        <v>81</v>
      </c>
    </row>
    <row r="30" spans="1:3" x14ac:dyDescent="0.2">
      <c r="A30" s="90" t="s">
        <v>47</v>
      </c>
      <c r="B30" s="66" t="str">
        <f>'Parameters List'!B30</f>
        <v>Actual CPI (ms)</v>
      </c>
      <c r="C30" s="91" t="s">
        <v>78</v>
      </c>
    </row>
    <row r="31" spans="1:3" x14ac:dyDescent="0.2">
      <c r="A31" s="90" t="s">
        <v>500</v>
      </c>
      <c r="B31" s="63" t="str">
        <f>'Parameters List'!B31</f>
        <v>Multi Stagger - PRI Ext (in Chip Units)</v>
      </c>
      <c r="C31" s="91" t="s">
        <v>78</v>
      </c>
    </row>
    <row r="32" spans="1:3" x14ac:dyDescent="0.2">
      <c r="A32" s="90" t="s">
        <v>49</v>
      </c>
      <c r="B32" s="63" t="str">
        <f>'Parameters List'!B32</f>
        <v>Stagger1 PRI (µs)</v>
      </c>
      <c r="C32" s="91" t="s">
        <v>78</v>
      </c>
    </row>
    <row r="33" spans="1:3" x14ac:dyDescent="0.2">
      <c r="A33" s="90" t="s">
        <v>50</v>
      </c>
      <c r="B33" s="63" t="str">
        <f>'Parameters List'!B33</f>
        <v>Stagger2 PRI (µs)</v>
      </c>
      <c r="C33" s="91" t="s">
        <v>78</v>
      </c>
    </row>
    <row r="34" spans="1:3" x14ac:dyDescent="0.2">
      <c r="A34" s="90" t="s">
        <v>323</v>
      </c>
      <c r="B34" s="66" t="str">
        <f>'Parameters List'!B34</f>
        <v>Number of Staggers (1 or 2)</v>
      </c>
      <c r="C34" s="91" t="s">
        <v>81</v>
      </c>
    </row>
    <row r="35" spans="1:3" x14ac:dyDescent="0.2">
      <c r="A35" s="20"/>
      <c r="B35" s="63" t="str">
        <f>'Parameters List'!B35</f>
        <v>Stagger Loss (dB)</v>
      </c>
      <c r="C35" s="91"/>
    </row>
    <row r="36" spans="1:3" x14ac:dyDescent="0.2">
      <c r="A36" s="90" t="s">
        <v>48</v>
      </c>
      <c r="B36" s="66" t="str">
        <f>'Parameters List'!B36</f>
        <v>PW (µs)</v>
      </c>
      <c r="C36" s="91" t="s">
        <v>78</v>
      </c>
    </row>
    <row r="37" spans="1:3" x14ac:dyDescent="0.2">
      <c r="A37" s="90" t="s">
        <v>225</v>
      </c>
      <c r="B37" s="66" t="str">
        <f>'Parameters List'!B37</f>
        <v>Actual Bandwidth (MHz)</v>
      </c>
      <c r="C37" s="91" t="s">
        <v>78</v>
      </c>
    </row>
    <row r="38" spans="1:3" x14ac:dyDescent="0.2">
      <c r="A38" s="90" t="s">
        <v>345</v>
      </c>
      <c r="B38" s="66" t="str">
        <f>'Parameters List'!B38</f>
        <v>Range Resolution (m)</v>
      </c>
      <c r="C38" s="91" t="s">
        <v>81</v>
      </c>
    </row>
    <row r="39" spans="1:3" x14ac:dyDescent="0.2">
      <c r="A39" s="90" t="s">
        <v>346</v>
      </c>
      <c r="B39" s="66" t="str">
        <f>'Parameters List'!B39</f>
        <v>Range Gate Width (m)</v>
      </c>
      <c r="C39" s="91" t="s">
        <v>81</v>
      </c>
    </row>
    <row r="40" spans="1:3" x14ac:dyDescent="0.2">
      <c r="A40" s="90" t="s">
        <v>379</v>
      </c>
      <c r="B40" s="63" t="str">
        <f>'Parameters List'!B40</f>
        <v>Max Target Range (m)</v>
      </c>
      <c r="C40" s="91" t="s">
        <v>78</v>
      </c>
    </row>
    <row r="41" spans="1:3" x14ac:dyDescent="0.2">
      <c r="A41" s="90" t="s">
        <v>296</v>
      </c>
      <c r="B41" s="63" t="str">
        <f>'Parameters List'!B41</f>
        <v>Min Range Offset (m)</v>
      </c>
      <c r="C41" s="91" t="s">
        <v>78</v>
      </c>
    </row>
    <row r="42" spans="1:3" x14ac:dyDescent="0.2">
      <c r="A42" s="90" t="s">
        <v>297</v>
      </c>
      <c r="B42" s="63" t="str">
        <f>'Parameters List'!B42</f>
        <v>Max Range Offset (m)</v>
      </c>
      <c r="C42" s="91" t="s">
        <v>78</v>
      </c>
    </row>
    <row r="43" spans="1:3" x14ac:dyDescent="0.2">
      <c r="A43" s="90" t="s">
        <v>51</v>
      </c>
      <c r="B43" s="68" t="str">
        <f>'Parameters List'!B43</f>
        <v>Min Range (m)</v>
      </c>
      <c r="C43" s="91" t="s">
        <v>78</v>
      </c>
    </row>
    <row r="44" spans="1:3" x14ac:dyDescent="0.2">
      <c r="A44" s="90" t="s">
        <v>52</v>
      </c>
      <c r="B44" s="68" t="str">
        <f>'Parameters List'!B44</f>
        <v>Max Range (m)</v>
      </c>
      <c r="C44" s="91" t="s">
        <v>78</v>
      </c>
    </row>
    <row r="45" spans="1:3" x14ac:dyDescent="0.2">
      <c r="A45" s="90" t="s">
        <v>53</v>
      </c>
      <c r="B45" s="66" t="str">
        <f>'Parameters List'!B45</f>
        <v>NRG</v>
      </c>
      <c r="C45" s="91" t="s">
        <v>78</v>
      </c>
    </row>
    <row r="46" spans="1:3" x14ac:dyDescent="0.2">
      <c r="A46" s="90" t="s">
        <v>54</v>
      </c>
      <c r="B46" s="63" t="str">
        <f>'Parameters List'!B46</f>
        <v>TCHIP (even number)</v>
      </c>
      <c r="C46" s="91" t="s">
        <v>78</v>
      </c>
    </row>
    <row r="47" spans="1:3" x14ac:dyDescent="0.2">
      <c r="A47" s="90" t="s">
        <v>88</v>
      </c>
      <c r="B47" s="63" t="str">
        <f>'Parameters List'!B47</f>
        <v>Range Gate Overlap
(0 - 0%, 1 - 50%)</v>
      </c>
      <c r="C47" s="91" t="s">
        <v>78</v>
      </c>
    </row>
    <row r="48" spans="1:3" x14ac:dyDescent="0.2">
      <c r="A48" s="90" t="s">
        <v>79</v>
      </c>
      <c r="B48" s="63" t="str">
        <f>'Parameters List'!B48</f>
        <v>NSERIES</v>
      </c>
      <c r="C48" s="91" t="s">
        <v>78</v>
      </c>
    </row>
    <row r="49" spans="1:3" x14ac:dyDescent="0.2">
      <c r="A49" s="90" t="s">
        <v>55</v>
      </c>
      <c r="B49" s="63" t="str">
        <f>'Parameters List'!B49</f>
        <v>POSTDEC</v>
      </c>
      <c r="C49" s="91" t="s">
        <v>78</v>
      </c>
    </row>
    <row r="50" spans="1:3" x14ac:dyDescent="0.2">
      <c r="B50" s="69" t="str">
        <f>'Parameters List'!B50</f>
        <v>Max Abs Velocity Meas (m/s)</v>
      </c>
      <c r="C50" s="91"/>
    </row>
    <row r="51" spans="1:3" x14ac:dyDescent="0.2">
      <c r="A51" s="90" t="s">
        <v>80</v>
      </c>
      <c r="B51" s="68" t="str">
        <f>'Parameters List'!B51</f>
        <v>Npoints (up to FFT length)</v>
      </c>
      <c r="C51" s="91" t="s">
        <v>78</v>
      </c>
    </row>
    <row r="52" spans="1:3" x14ac:dyDescent="0.2">
      <c r="A52" s="90" t="s">
        <v>56</v>
      </c>
      <c r="B52" s="68" t="str">
        <f>'Parameters List'!B52</f>
        <v>FFT length (limited to 8192)</v>
      </c>
      <c r="C52" s="91" t="s">
        <v>78</v>
      </c>
    </row>
    <row r="53" spans="1:3" x14ac:dyDescent="0.2">
      <c r="A53" s="20"/>
      <c r="B53" s="68" t="str">
        <f>'Parameters List'!B53</f>
        <v>NCRG(per rcvr,limited to 512)</v>
      </c>
      <c r="C53" s="91"/>
    </row>
    <row r="54" spans="1:3" x14ac:dyDescent="0.2">
      <c r="A54" s="20"/>
      <c r="B54" s="68" t="str">
        <f>'Parameters List'!B54</f>
        <v>NCRG(all rcvrs)</v>
      </c>
      <c r="C54" s="91"/>
    </row>
    <row r="55" spans="1:3" x14ac:dyDescent="0.2">
      <c r="A55" s="20"/>
      <c r="B55" s="68" t="str">
        <f>'Parameters List'!B55</f>
        <v>TCHIP (m)</v>
      </c>
      <c r="C55" s="91"/>
    </row>
    <row r="56" spans="1:3" x14ac:dyDescent="0.2">
      <c r="B56" s="71" t="str">
        <f>'Parameters List'!B56</f>
        <v>Clutter Velocity Limit (m/s)</v>
      </c>
      <c r="C56" s="91"/>
    </row>
    <row r="57" spans="1:3" x14ac:dyDescent="0.2">
      <c r="A57" s="90" t="s">
        <v>61</v>
      </c>
      <c r="B57" s="68" t="str">
        <f>'Parameters List'!B57</f>
        <v>Clutter Margin (m/s)</v>
      </c>
      <c r="C57" s="91" t="s">
        <v>81</v>
      </c>
    </row>
    <row r="58" spans="1:3" x14ac:dyDescent="0.2">
      <c r="A58" s="90" t="s">
        <v>57</v>
      </c>
      <c r="B58" s="71" t="str">
        <f>'Parameters List'!B58</f>
        <v>Min Velocity (m/s)</v>
      </c>
      <c r="C58" s="91" t="s">
        <v>81</v>
      </c>
    </row>
    <row r="59" spans="1:3" x14ac:dyDescent="0.2">
      <c r="A59" s="90" t="s">
        <v>58</v>
      </c>
      <c r="B59" s="71" t="str">
        <f>'Parameters List'!B59</f>
        <v>Max Velocity (m/s)</v>
      </c>
      <c r="C59" s="91" t="s">
        <v>81</v>
      </c>
    </row>
    <row r="60" spans="1:3" x14ac:dyDescent="0.2">
      <c r="A60" s="20"/>
      <c r="B60" s="68" t="str">
        <f>'Parameters List'!B60</f>
        <v>Loss Velocity (m/s)</v>
      </c>
      <c r="C60" s="91"/>
    </row>
    <row r="61" spans="1:3" x14ac:dyDescent="0.2">
      <c r="A61" s="20"/>
      <c r="B61" s="68" t="str">
        <f>'Parameters List'!B61</f>
        <v>Velocity Loss (dB)</v>
      </c>
      <c r="C61" s="91"/>
    </row>
    <row r="62" spans="1:3" x14ac:dyDescent="0.2">
      <c r="A62" s="20"/>
      <c r="B62" s="71" t="str">
        <f>'Parameters List'!B62</f>
        <v>Max Acceleration (m/s2)</v>
      </c>
      <c r="C62" s="91"/>
    </row>
    <row r="63" spans="1:3" x14ac:dyDescent="0.2">
      <c r="A63" s="20"/>
      <c r="B63" s="68" t="str">
        <f>'Parameters List'!B63</f>
        <v>Loss Acceleration (m/s2)</v>
      </c>
      <c r="C63" s="91"/>
    </row>
    <row r="64" spans="1:3" x14ac:dyDescent="0.2">
      <c r="A64" s="20"/>
      <c r="B64" s="68" t="str">
        <f>'Parameters List'!B64</f>
        <v>Acceleration Loss (dB)</v>
      </c>
      <c r="C64" s="91"/>
    </row>
    <row r="65" spans="1:3" x14ac:dyDescent="0.2">
      <c r="A65" s="90" t="s">
        <v>277</v>
      </c>
      <c r="B65" s="69" t="str">
        <f>'Parameters List'!B65</f>
        <v>fft2doppler (m/s per FFT bin)</v>
      </c>
      <c r="C65" s="91" t="s">
        <v>81</v>
      </c>
    </row>
    <row r="66" spans="1:3" x14ac:dyDescent="0.2">
      <c r="A66" s="20"/>
      <c r="B66" s="69" t="str">
        <f>'Parameters List'!B66</f>
        <v>Optimal Peak2Peak Seperation (m/s)</v>
      </c>
      <c r="C66" s="91"/>
    </row>
    <row r="67" spans="1:3" x14ac:dyDescent="0.2">
      <c r="A67" s="20"/>
      <c r="B67" s="68" t="str">
        <f>'Parameters List'!B67</f>
        <v># FFT bins of peak spreading (one side)</v>
      </c>
      <c r="C67" s="91"/>
    </row>
    <row r="68" spans="1:3" x14ac:dyDescent="0.2">
      <c r="A68" s="20"/>
      <c r="B68" s="68" t="str">
        <f>'Parameters List'!B68</f>
        <v># FFT bins for noise estimation (one side)</v>
      </c>
      <c r="C68" s="91"/>
    </row>
    <row r="69" spans="1:3" x14ac:dyDescent="0.2">
      <c r="B69" s="68" t="str">
        <f>'Parameters List'!B69</f>
        <v># FFT bins of clutter margin (one side)</v>
      </c>
      <c r="C69" s="91"/>
    </row>
    <row r="70" spans="1:3" x14ac:dyDescent="0.2">
      <c r="B70" s="68" t="str">
        <f>'Parameters List'!B70</f>
        <v># FFT bins to min velocity</v>
      </c>
      <c r="C70" s="91"/>
    </row>
    <row r="71" spans="1:3" x14ac:dyDescent="0.2">
      <c r="B71" s="68" t="str">
        <f>'Parameters List'!B71</f>
        <v># FFT bins to max velocity</v>
      </c>
      <c r="C71" s="91"/>
    </row>
    <row r="72" spans="1:3" x14ac:dyDescent="0.2">
      <c r="A72" s="90" t="s">
        <v>59</v>
      </c>
      <c r="B72" s="68" t="str">
        <f>'Parameters List'!B72</f>
        <v>Noise Mask (example: '-13,-4,4,13)</v>
      </c>
      <c r="C72" s="91" t="s">
        <v>81</v>
      </c>
    </row>
    <row r="73" spans="1:3" x14ac:dyDescent="0.2">
      <c r="A73" s="90" t="s">
        <v>63</v>
      </c>
      <c r="B73" s="71" t="str">
        <f>'Parameters List'!B73</f>
        <v>Options (see Options List sheet)</v>
      </c>
      <c r="C73" s="91" t="s">
        <v>81</v>
      </c>
    </row>
    <row r="74" spans="1:3" x14ac:dyDescent="0.2">
      <c r="A74" s="90" t="s">
        <v>60</v>
      </c>
      <c r="B74" s="71" t="str">
        <f>'Parameters List'!B74</f>
        <v>SNR Threshold (dB)</v>
      </c>
      <c r="C74" s="91" t="s">
        <v>81</v>
      </c>
    </row>
    <row r="75" spans="1:3" x14ac:dyDescent="0.2">
      <c r="A75" s="20"/>
      <c r="B75" s="69" t="str">
        <f>'Parameters List'!B75</f>
        <v>Probability of False Alarm</v>
      </c>
      <c r="C75" s="91"/>
    </row>
    <row r="76" spans="1:3" x14ac:dyDescent="0.2">
      <c r="B76" s="69" t="str">
        <f>'Parameters List'!B76</f>
        <v>Probability of False Alarm per CPI</v>
      </c>
      <c r="C76" s="91"/>
    </row>
    <row r="77" spans="1:3" x14ac:dyDescent="0.2">
      <c r="B77" s="69" t="str">
        <f>'Parameters List'!B77</f>
        <v>Probability of False Alarm per SEC</v>
      </c>
      <c r="C77" s="91"/>
    </row>
    <row r="78" spans="1:3" x14ac:dyDescent="0.2">
      <c r="B78" s="71" t="str">
        <f>'Parameters List'!B78</f>
        <v>Max Tgt SNR (dB)</v>
      </c>
      <c r="C78" s="91"/>
    </row>
    <row r="79" spans="1:3" x14ac:dyDescent="0.2">
      <c r="A79" s="90" t="s">
        <v>322</v>
      </c>
      <c r="B79" s="68" t="str">
        <f>'Parameters List'!B79</f>
        <v>STC Init Range (m)</v>
      </c>
      <c r="C79" s="91" t="s">
        <v>81</v>
      </c>
    </row>
    <row r="80" spans="1:3" x14ac:dyDescent="0.2">
      <c r="B80" s="71" t="str">
        <f>'Parameters List'!B80</f>
        <v>Tapered Array (0/1)</v>
      </c>
      <c r="C80" s="91"/>
    </row>
    <row r="81" spans="1:3" x14ac:dyDescent="0.2">
      <c r="A81" s="20"/>
      <c r="B81" s="71" t="str">
        <f>'Parameters List'!B81</f>
        <v>AGC Set (1-6)</v>
      </c>
      <c r="C81" s="91"/>
    </row>
    <row r="82" spans="1:3" x14ac:dyDescent="0.2">
      <c r="A82" s="20"/>
      <c r="B82" s="68" t="str">
        <f>'Parameters List'!B82</f>
        <v>RF AGC (dB) - 1st Rx</v>
      </c>
      <c r="C82" s="91"/>
    </row>
    <row r="83" spans="1:3" x14ac:dyDescent="0.2">
      <c r="A83" s="20"/>
      <c r="B83" s="68" t="str">
        <f>'Parameters List'!B83</f>
        <v>IF AGC (dB) - 1st Rx</v>
      </c>
      <c r="C83" s="91"/>
    </row>
    <row r="84" spans="1:3" x14ac:dyDescent="0.2">
      <c r="A84" s="20"/>
      <c r="B84" s="68" t="str">
        <f>'Parameters List'!B84</f>
        <v>RF AGC (dB) - Ref Rx</v>
      </c>
      <c r="C84" s="91"/>
    </row>
    <row r="85" spans="1:3" x14ac:dyDescent="0.2">
      <c r="A85" s="20"/>
      <c r="B85" s="68" t="str">
        <f>'Parameters List'!B85</f>
        <v>IF AGC (dB) - Ref Rx</v>
      </c>
      <c r="C85" s="91"/>
    </row>
    <row r="86" spans="1:3" x14ac:dyDescent="0.2">
      <c r="A86" s="20"/>
      <c r="B86" s="68" t="str">
        <f>'Parameters List'!B86</f>
        <v>NF @ADCout (dB) - 1st Rx</v>
      </c>
      <c r="C86" s="91"/>
    </row>
    <row r="87" spans="1:3" x14ac:dyDescent="0.2">
      <c r="A87" s="20"/>
      <c r="B87" s="68" t="str">
        <f>'Parameters List'!B87</f>
        <v>NF @ADCout (dB) - Ref Rx</v>
      </c>
      <c r="C87" s="91"/>
    </row>
    <row r="88" spans="1:3" x14ac:dyDescent="0.2">
      <c r="A88" s="90" t="s">
        <v>504</v>
      </c>
      <c r="B88" s="71" t="str">
        <f>'Parameters List'!B88</f>
        <v>RCS (m^2)</v>
      </c>
      <c r="C88" s="91" t="s">
        <v>81</v>
      </c>
    </row>
    <row r="89" spans="1:3" x14ac:dyDescent="0.2">
      <c r="B89" s="68" t="str">
        <f>'Parameters List'!B89</f>
        <v>σ(dB/m2)</v>
      </c>
      <c r="C89" s="91"/>
    </row>
    <row r="90" spans="1:3" x14ac:dyDescent="0.2">
      <c r="B90" s="69" t="str">
        <f>'Parameters List'!B90</f>
        <v>Tgt min range @ADCin (dBm) - Ref. Rx</v>
      </c>
      <c r="C90" s="91"/>
    </row>
    <row r="91" spans="1:3" x14ac:dyDescent="0.2">
      <c r="A91" s="20"/>
      <c r="B91" s="69" t="str">
        <f>'Parameters List'!B91</f>
        <v>Tgt max range @ADCin (dBm) - Ref. Rx</v>
      </c>
      <c r="C91" s="91"/>
    </row>
    <row r="92" spans="1:3" x14ac:dyDescent="0.2">
      <c r="A92" s="20"/>
      <c r="B92" s="68" t="str">
        <f>'Parameters List'!B92</f>
        <v>1st Rx Noise @ADCout (dBm/bin)</v>
      </c>
      <c r="C92" s="91"/>
    </row>
    <row r="93" spans="1:3" x14ac:dyDescent="0.2">
      <c r="A93" s="20"/>
      <c r="B93" s="68" t="str">
        <f>'Parameters List'!B93</f>
        <v>Ref Rx Noise @ADCout (dBm/bin)</v>
      </c>
      <c r="C93" s="91"/>
    </row>
    <row r="94" spans="1:3" x14ac:dyDescent="0.2">
      <c r="A94" s="20"/>
      <c r="B94" s="68" t="str">
        <f>'Parameters List'!B94</f>
        <v>Total Noise @ADCout (dBm/bin)</v>
      </c>
      <c r="C94" s="91"/>
    </row>
    <row r="95" spans="1:3" x14ac:dyDescent="0.2">
      <c r="A95" s="90" t="s">
        <v>375</v>
      </c>
      <c r="B95" s="68" t="str">
        <f>'Parameters List'!B95</f>
        <v>Rx Processing Gain (dB)</v>
      </c>
      <c r="C95" s="91" t="s">
        <v>81</v>
      </c>
    </row>
    <row r="96" spans="1:3" x14ac:dyDescent="0.2">
      <c r="A96" s="20"/>
      <c r="B96" s="68" t="str">
        <f>'Parameters List'!B96</f>
        <v>Total Processing Gain (dB)</v>
      </c>
      <c r="C96" s="91"/>
    </row>
    <row r="97" spans="1:3" x14ac:dyDescent="0.2">
      <c r="A97" s="20"/>
      <c r="B97" s="68" t="str">
        <f>'Parameters List'!B97</f>
        <v>Total Loss (dB)</v>
      </c>
      <c r="C97" s="91"/>
    </row>
    <row r="98" spans="1:3" x14ac:dyDescent="0.2">
      <c r="A98" s="20"/>
      <c r="B98" s="69" t="str">
        <f>'Parameters List'!B98</f>
        <v>SNR min range (dB)</v>
      </c>
      <c r="C98" s="91"/>
    </row>
    <row r="99" spans="1:3" x14ac:dyDescent="0.2">
      <c r="A99" s="20"/>
      <c r="B99" s="69" t="str">
        <f>'Parameters List'!B99</f>
        <v>SNR max range (dB)</v>
      </c>
      <c r="C99" s="91"/>
    </row>
    <row r="100" spans="1:3" x14ac:dyDescent="0.2">
      <c r="A100" s="20"/>
      <c r="B100" s="68" t="str">
        <f>'Parameters List'!B100</f>
        <v>Duty cycle per beam</v>
      </c>
      <c r="C100" s="91"/>
    </row>
    <row r="101" spans="1:3" x14ac:dyDescent="0.2">
      <c r="A101" s="20"/>
      <c r="B101" s="68" t="str">
        <f>'Parameters List'!B101</f>
        <v>Buffer size (KB)</v>
      </c>
      <c r="C101" s="91"/>
    </row>
    <row r="102" spans="1:3" x14ac:dyDescent="0.2">
      <c r="A102" s="20"/>
      <c r="B102" s="68" t="str">
        <f>'Parameters List'!B102</f>
        <v>PCIe Rate MB/s</v>
      </c>
      <c r="C102" s="91"/>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34"/>
  <sheetViews>
    <sheetView workbookViewId="0">
      <selection activeCell="H10" sqref="H10"/>
    </sheetView>
  </sheetViews>
  <sheetFormatPr defaultColWidth="9.125" defaultRowHeight="14.25" x14ac:dyDescent="0.2"/>
  <cols>
    <col min="1" max="1" width="13.125" style="6" bestFit="1" customWidth="1"/>
    <col min="2" max="2" width="21.25" style="6" customWidth="1"/>
    <col min="3" max="3" width="28" style="6" customWidth="1"/>
    <col min="4" max="4" width="12" style="6" bestFit="1" customWidth="1"/>
    <col min="5" max="5" width="13.25" style="6" customWidth="1"/>
    <col min="6" max="6" width="31.75" style="6" bestFit="1" customWidth="1"/>
    <col min="7" max="7" width="9.125" style="6"/>
    <col min="8" max="8" width="10" style="6" bestFit="1" customWidth="1"/>
    <col min="9" max="16384" width="9.125" style="6"/>
  </cols>
  <sheetData>
    <row r="1" spans="1:6" s="22" customFormat="1" ht="30" x14ac:dyDescent="0.2">
      <c r="A1" s="96" t="s">
        <v>73</v>
      </c>
      <c r="B1" s="96" t="s">
        <v>71</v>
      </c>
      <c r="C1" s="96" t="s">
        <v>72</v>
      </c>
      <c r="D1" s="102" t="s">
        <v>91</v>
      </c>
      <c r="E1" s="96" t="s">
        <v>92</v>
      </c>
      <c r="F1" s="102" t="s">
        <v>104</v>
      </c>
    </row>
    <row r="2" spans="1:6" s="4" customFormat="1" x14ac:dyDescent="0.2">
      <c r="A2" s="1" t="s">
        <v>74</v>
      </c>
      <c r="B2" s="1" t="s">
        <v>68</v>
      </c>
      <c r="C2" s="1" t="s">
        <v>70</v>
      </c>
      <c r="D2" s="1" t="s">
        <v>492</v>
      </c>
      <c r="F2" s="4" t="s">
        <v>93</v>
      </c>
    </row>
    <row r="3" spans="1:6" s="4" customFormat="1" x14ac:dyDescent="0.2">
      <c r="A3" s="1" t="s">
        <v>74</v>
      </c>
      <c r="B3" s="1" t="s">
        <v>69</v>
      </c>
      <c r="C3" s="1" t="s">
        <v>69</v>
      </c>
      <c r="D3" s="2">
        <v>5</v>
      </c>
      <c r="E3" s="3"/>
      <c r="F3" s="4" t="s">
        <v>94</v>
      </c>
    </row>
    <row r="4" spans="1:6" s="4" customFormat="1" x14ac:dyDescent="0.2">
      <c r="A4" s="1" t="s">
        <v>74</v>
      </c>
      <c r="B4" s="1" t="s">
        <v>298</v>
      </c>
      <c r="C4" s="1" t="s">
        <v>298</v>
      </c>
      <c r="D4" s="2">
        <v>15</v>
      </c>
      <c r="E4" s="3"/>
      <c r="F4" s="4" t="s">
        <v>299</v>
      </c>
    </row>
    <row r="5" spans="1:6" s="4" customFormat="1" x14ac:dyDescent="0.2">
      <c r="A5" s="1" t="s">
        <v>74</v>
      </c>
      <c r="B5" s="1" t="s">
        <v>367</v>
      </c>
      <c r="C5" s="1" t="s">
        <v>368</v>
      </c>
      <c r="D5" s="2">
        <v>1902142570</v>
      </c>
      <c r="E5" s="3"/>
      <c r="F5" s="4" t="s">
        <v>369</v>
      </c>
    </row>
    <row r="6" spans="1:6" s="4" customFormat="1" x14ac:dyDescent="0.2">
      <c r="A6" s="99" t="s">
        <v>75</v>
      </c>
      <c r="B6" s="1" t="s">
        <v>42</v>
      </c>
      <c r="C6" s="99" t="s">
        <v>95</v>
      </c>
      <c r="D6" s="2">
        <f>E6</f>
        <v>40</v>
      </c>
      <c r="E6" s="3">
        <v>40</v>
      </c>
      <c r="F6" s="4" t="s">
        <v>96</v>
      </c>
    </row>
    <row r="7" spans="1:6" s="4" customFormat="1" x14ac:dyDescent="0.2">
      <c r="A7" s="99" t="s">
        <v>97</v>
      </c>
      <c r="B7" s="1" t="s">
        <v>42</v>
      </c>
      <c r="C7" s="99" t="s">
        <v>98</v>
      </c>
      <c r="D7" s="2">
        <f>E7*PI()/180</f>
        <v>0.69813170079773179</v>
      </c>
      <c r="E7" s="3">
        <v>40</v>
      </c>
      <c r="F7" s="4" t="s">
        <v>99</v>
      </c>
    </row>
    <row r="8" spans="1:6" s="4" customFormat="1" x14ac:dyDescent="0.2">
      <c r="A8" s="99" t="s">
        <v>75</v>
      </c>
      <c r="B8" s="1" t="s">
        <v>43</v>
      </c>
      <c r="C8" s="99" t="s">
        <v>95</v>
      </c>
      <c r="D8" s="2">
        <f>E8</f>
        <v>17</v>
      </c>
      <c r="E8" s="3">
        <v>17</v>
      </c>
      <c r="F8" s="4" t="s">
        <v>100</v>
      </c>
    </row>
    <row r="9" spans="1:6" s="4" customFormat="1" x14ac:dyDescent="0.2">
      <c r="A9" s="99" t="s">
        <v>97</v>
      </c>
      <c r="B9" s="1" t="s">
        <v>43</v>
      </c>
      <c r="C9" s="99" t="s">
        <v>98</v>
      </c>
      <c r="D9" s="2">
        <f>E9*PI()/180</f>
        <v>0.29670597283903605</v>
      </c>
      <c r="E9" s="3">
        <v>17</v>
      </c>
      <c r="F9" s="4" t="s">
        <v>101</v>
      </c>
    </row>
    <row r="10" spans="1:6" s="4" customFormat="1" x14ac:dyDescent="0.2">
      <c r="A10" s="99" t="s">
        <v>75</v>
      </c>
      <c r="B10" s="1" t="s">
        <v>46</v>
      </c>
      <c r="C10" s="99" t="s">
        <v>108</v>
      </c>
      <c r="D10" s="2">
        <f>E10</f>
        <v>302</v>
      </c>
      <c r="E10" s="3">
        <v>302</v>
      </c>
      <c r="F10" s="4" t="s">
        <v>109</v>
      </c>
    </row>
    <row r="11" spans="1:6" s="4" customFormat="1" x14ac:dyDescent="0.2">
      <c r="A11" s="99" t="s">
        <v>97</v>
      </c>
      <c r="B11" s="1" t="s">
        <v>46</v>
      </c>
      <c r="C11" s="99" t="s">
        <v>102</v>
      </c>
      <c r="D11" s="2">
        <f>E11*10^-3</f>
        <v>0.30199999999999999</v>
      </c>
      <c r="E11" s="3">
        <v>302</v>
      </c>
      <c r="F11" s="4" t="s">
        <v>110</v>
      </c>
    </row>
    <row r="12" spans="1:6" s="4" customFormat="1" x14ac:dyDescent="0.2">
      <c r="A12" s="99" t="s">
        <v>75</v>
      </c>
      <c r="B12" s="1" t="s">
        <v>47</v>
      </c>
      <c r="C12" s="99" t="s">
        <v>108</v>
      </c>
      <c r="D12" s="2">
        <f>E12</f>
        <v>301.46559999999999</v>
      </c>
      <c r="E12" s="3">
        <v>301.46559999999999</v>
      </c>
      <c r="F12" s="4" t="s">
        <v>122</v>
      </c>
    </row>
    <row r="13" spans="1:6" s="4" customFormat="1" x14ac:dyDescent="0.2">
      <c r="A13" s="99" t="s">
        <v>97</v>
      </c>
      <c r="B13" s="1" t="s">
        <v>47</v>
      </c>
      <c r="C13" s="99" t="s">
        <v>102</v>
      </c>
      <c r="D13" s="2">
        <f>E13*10^-3</f>
        <v>0.3014656</v>
      </c>
      <c r="E13" s="3">
        <v>301.46559999999999</v>
      </c>
      <c r="F13" s="4" t="s">
        <v>123</v>
      </c>
    </row>
    <row r="14" spans="1:6" s="4" customFormat="1" x14ac:dyDescent="0.2">
      <c r="A14" s="99" t="s">
        <v>75</v>
      </c>
      <c r="B14" s="99" t="s">
        <v>48</v>
      </c>
      <c r="C14" s="99" t="s">
        <v>158</v>
      </c>
      <c r="D14" s="2">
        <f>E14</f>
        <v>0.4</v>
      </c>
      <c r="E14" s="3">
        <v>0.4</v>
      </c>
      <c r="F14" s="4" t="s">
        <v>111</v>
      </c>
    </row>
    <row r="15" spans="1:6" s="4" customFormat="1" x14ac:dyDescent="0.2">
      <c r="A15" s="99" t="s">
        <v>97</v>
      </c>
      <c r="B15" s="99" t="s">
        <v>48</v>
      </c>
      <c r="C15" s="99" t="s">
        <v>102</v>
      </c>
      <c r="D15" s="2">
        <f>E15*10^-6</f>
        <v>3.9999999999999998E-7</v>
      </c>
      <c r="E15" s="3">
        <v>0.4</v>
      </c>
      <c r="F15" s="4" t="s">
        <v>103</v>
      </c>
    </row>
    <row r="16" spans="1:6" s="4" customFormat="1" x14ac:dyDescent="0.2">
      <c r="A16" s="99" t="s">
        <v>75</v>
      </c>
      <c r="B16" s="99" t="s">
        <v>225</v>
      </c>
      <c r="C16" s="99" t="s">
        <v>226</v>
      </c>
      <c r="D16" s="2">
        <f>E16</f>
        <v>5</v>
      </c>
      <c r="E16" s="3">
        <v>5</v>
      </c>
      <c r="F16" s="4" t="s">
        <v>227</v>
      </c>
    </row>
    <row r="17" spans="1:6" s="4" customFormat="1" x14ac:dyDescent="0.2">
      <c r="A17" s="99" t="s">
        <v>97</v>
      </c>
      <c r="B17" s="99" t="s">
        <v>225</v>
      </c>
      <c r="C17" s="99" t="s">
        <v>228</v>
      </c>
      <c r="D17" s="2">
        <f>E17*10^6</f>
        <v>5000000</v>
      </c>
      <c r="E17" s="3">
        <v>5</v>
      </c>
      <c r="F17" s="4" t="s">
        <v>229</v>
      </c>
    </row>
    <row r="18" spans="1:6" s="4" customFormat="1" x14ac:dyDescent="0.2">
      <c r="A18" s="99" t="s">
        <v>75</v>
      </c>
      <c r="B18" s="99" t="s">
        <v>49</v>
      </c>
      <c r="C18" s="99" t="s">
        <v>158</v>
      </c>
      <c r="D18" s="2">
        <f>E18</f>
        <v>4.5</v>
      </c>
      <c r="E18" s="3">
        <v>4.5</v>
      </c>
      <c r="F18" s="4" t="s">
        <v>112</v>
      </c>
    </row>
    <row r="19" spans="1:6" s="4" customFormat="1" x14ac:dyDescent="0.2">
      <c r="A19" s="99" t="s">
        <v>97</v>
      </c>
      <c r="B19" s="99" t="s">
        <v>49</v>
      </c>
      <c r="C19" s="99" t="s">
        <v>102</v>
      </c>
      <c r="D19" s="2">
        <f>E19*10^-6</f>
        <v>4.5000000000000001E-6</v>
      </c>
      <c r="E19" s="3">
        <v>4.5</v>
      </c>
      <c r="F19" s="4" t="s">
        <v>113</v>
      </c>
    </row>
    <row r="20" spans="1:6" s="4" customFormat="1" x14ac:dyDescent="0.2">
      <c r="A20" s="99" t="s">
        <v>75</v>
      </c>
      <c r="B20" s="99" t="s">
        <v>50</v>
      </c>
      <c r="C20" s="99" t="s">
        <v>158</v>
      </c>
      <c r="D20" s="2">
        <f>E20</f>
        <v>0</v>
      </c>
      <c r="E20" s="3">
        <v>0</v>
      </c>
      <c r="F20" s="4" t="s">
        <v>114</v>
      </c>
    </row>
    <row r="21" spans="1:6" s="4" customFormat="1" x14ac:dyDescent="0.2">
      <c r="A21" s="99" t="s">
        <v>97</v>
      </c>
      <c r="B21" s="99" t="s">
        <v>50</v>
      </c>
      <c r="C21" s="99" t="s">
        <v>102</v>
      </c>
      <c r="D21" s="2">
        <f>E21*10^-6</f>
        <v>0</v>
      </c>
      <c r="E21" s="3">
        <v>0</v>
      </c>
      <c r="F21" s="4" t="s">
        <v>115</v>
      </c>
    </row>
    <row r="22" spans="1:6" s="4" customFormat="1" x14ac:dyDescent="0.2">
      <c r="A22" s="99" t="s">
        <v>75</v>
      </c>
      <c r="B22" s="99" t="s">
        <v>51</v>
      </c>
      <c r="C22" s="99" t="s">
        <v>105</v>
      </c>
      <c r="D22" s="2"/>
      <c r="E22" s="3">
        <v>243.75</v>
      </c>
      <c r="F22" s="4" t="s">
        <v>116</v>
      </c>
    </row>
    <row r="23" spans="1:6" s="4" customFormat="1" x14ac:dyDescent="0.2">
      <c r="A23" s="99" t="s">
        <v>75</v>
      </c>
      <c r="B23" s="99" t="s">
        <v>52</v>
      </c>
      <c r="C23" s="99" t="s">
        <v>105</v>
      </c>
      <c r="D23" s="2"/>
      <c r="E23" s="3">
        <v>1500</v>
      </c>
      <c r="F23" s="4" t="s">
        <v>117</v>
      </c>
    </row>
    <row r="24" spans="1:6" s="4" customFormat="1" x14ac:dyDescent="0.2">
      <c r="A24" s="99" t="s">
        <v>75</v>
      </c>
      <c r="B24" s="99" t="s">
        <v>57</v>
      </c>
      <c r="C24" s="99" t="s">
        <v>106</v>
      </c>
      <c r="D24" s="2"/>
      <c r="E24" s="3">
        <v>600</v>
      </c>
      <c r="F24" s="4" t="s">
        <v>118</v>
      </c>
    </row>
    <row r="25" spans="1:6" s="4" customFormat="1" x14ac:dyDescent="0.2">
      <c r="A25" s="99" t="s">
        <v>75</v>
      </c>
      <c r="B25" s="99" t="s">
        <v>58</v>
      </c>
      <c r="C25" s="99" t="s">
        <v>106</v>
      </c>
      <c r="D25" s="2"/>
      <c r="E25" s="3">
        <v>1700</v>
      </c>
      <c r="F25" s="4" t="s">
        <v>119</v>
      </c>
    </row>
    <row r="26" spans="1:6" s="4" customFormat="1" x14ac:dyDescent="0.2">
      <c r="A26" s="99" t="s">
        <v>75</v>
      </c>
      <c r="B26" s="99" t="s">
        <v>60</v>
      </c>
      <c r="C26" s="99" t="s">
        <v>107</v>
      </c>
      <c r="D26" s="2"/>
      <c r="E26" s="3">
        <v>15</v>
      </c>
      <c r="F26" s="4" t="s">
        <v>120</v>
      </c>
    </row>
    <row r="27" spans="1:6" s="4" customFormat="1" x14ac:dyDescent="0.2">
      <c r="A27" s="99" t="s">
        <v>75</v>
      </c>
      <c r="B27" s="99" t="s">
        <v>61</v>
      </c>
      <c r="C27" s="99" t="s">
        <v>106</v>
      </c>
      <c r="D27" s="2"/>
      <c r="E27" s="3">
        <v>40</v>
      </c>
      <c r="F27" s="4" t="s">
        <v>121</v>
      </c>
    </row>
    <row r="28" spans="1:6" s="4" customFormat="1" x14ac:dyDescent="0.2">
      <c r="A28" s="99" t="s">
        <v>75</v>
      </c>
      <c r="B28" s="99" t="s">
        <v>247</v>
      </c>
      <c r="C28" s="99" t="s">
        <v>107</v>
      </c>
      <c r="D28" s="2"/>
      <c r="E28" s="3">
        <v>15</v>
      </c>
      <c r="F28" s="4" t="s">
        <v>248</v>
      </c>
    </row>
    <row r="29" spans="1:6" s="4" customFormat="1" x14ac:dyDescent="0.2">
      <c r="A29" s="99" t="s">
        <v>75</v>
      </c>
      <c r="B29" s="99" t="s">
        <v>249</v>
      </c>
      <c r="C29" s="99" t="s">
        <v>107</v>
      </c>
      <c r="D29" s="2"/>
      <c r="E29" s="3">
        <v>15</v>
      </c>
      <c r="F29" s="4" t="s">
        <v>250</v>
      </c>
    </row>
    <row r="30" spans="1:6" s="4" customFormat="1" x14ac:dyDescent="0.2">
      <c r="A30" s="99" t="s">
        <v>75</v>
      </c>
      <c r="B30" s="99" t="s">
        <v>196</v>
      </c>
      <c r="C30" s="99" t="s">
        <v>107</v>
      </c>
      <c r="D30" s="2"/>
      <c r="E30" s="3">
        <v>15</v>
      </c>
      <c r="F30" s="4" t="s">
        <v>251</v>
      </c>
    </row>
    <row r="31" spans="1:6" s="4" customFormat="1" x14ac:dyDescent="0.2"/>
    <row r="32" spans="1:6" s="4" customFormat="1" x14ac:dyDescent="0.2"/>
    <row r="33" s="4" customFormat="1" x14ac:dyDescent="0.2"/>
    <row r="34" s="4" customFormat="1" x14ac:dyDescent="0.2"/>
  </sheetData>
  <dataConsolidate/>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F69"/>
  <sheetViews>
    <sheetView topLeftCell="A16" workbookViewId="0">
      <selection activeCell="B35" sqref="B35"/>
    </sheetView>
  </sheetViews>
  <sheetFormatPr defaultColWidth="9.125" defaultRowHeight="14.25" x14ac:dyDescent="0.2"/>
  <cols>
    <col min="1" max="1" width="9.125" style="6"/>
    <col min="2" max="2" width="142.875" style="5" customWidth="1"/>
    <col min="3" max="16384" width="9.125" style="6"/>
  </cols>
  <sheetData>
    <row r="1" spans="2:6" ht="15" thickBot="1" x14ac:dyDescent="0.25"/>
    <row r="2" spans="2:6" ht="20.25" thickBot="1" x14ac:dyDescent="0.25">
      <c r="B2" s="7" t="s">
        <v>124</v>
      </c>
    </row>
    <row r="3" spans="2:6" ht="33.75" thickTop="1" x14ac:dyDescent="0.2">
      <c r="B3" s="8" t="s">
        <v>125</v>
      </c>
    </row>
    <row r="4" spans="2:6" x14ac:dyDescent="0.2">
      <c r="B4" s="9"/>
      <c r="F4" s="10"/>
    </row>
    <row r="5" spans="2:6" x14ac:dyDescent="0.2">
      <c r="B5" s="11" t="s">
        <v>82</v>
      </c>
    </row>
    <row r="6" spans="2:6" x14ac:dyDescent="0.2">
      <c r="B6" s="11" t="s">
        <v>147</v>
      </c>
    </row>
    <row r="7" spans="2:6" x14ac:dyDescent="0.2">
      <c r="B7" s="9"/>
    </row>
    <row r="8" spans="2:6" ht="49.5" x14ac:dyDescent="0.2">
      <c r="B8" s="8" t="s">
        <v>126</v>
      </c>
    </row>
    <row r="9" spans="2:6" x14ac:dyDescent="0.2">
      <c r="B9" s="9"/>
    </row>
    <row r="10" spans="2:6" x14ac:dyDescent="0.2">
      <c r="B10" s="11" t="s">
        <v>82</v>
      </c>
    </row>
    <row r="11" spans="2:6" ht="28.5" x14ac:dyDescent="0.2">
      <c r="B11" s="11" t="s">
        <v>148</v>
      </c>
    </row>
    <row r="12" spans="2:6" x14ac:dyDescent="0.2">
      <c r="B12" s="9"/>
    </row>
    <row r="13" spans="2:6" ht="20.25" thickBot="1" x14ac:dyDescent="0.25">
      <c r="B13" s="12" t="s">
        <v>127</v>
      </c>
    </row>
    <row r="14" spans="2:6" ht="50.25" thickTop="1" x14ac:dyDescent="0.2">
      <c r="B14" s="8" t="s">
        <v>128</v>
      </c>
    </row>
    <row r="15" spans="2:6" x14ac:dyDescent="0.2">
      <c r="B15" s="9"/>
    </row>
    <row r="16" spans="2:6" x14ac:dyDescent="0.2">
      <c r="B16" s="11" t="s">
        <v>129</v>
      </c>
    </row>
    <row r="17" spans="2:2" x14ac:dyDescent="0.2">
      <c r="B17" s="11" t="s">
        <v>130</v>
      </c>
    </row>
    <row r="18" spans="2:2" ht="28.5" x14ac:dyDescent="0.2">
      <c r="B18" s="11" t="s">
        <v>131</v>
      </c>
    </row>
    <row r="19" spans="2:2" x14ac:dyDescent="0.2">
      <c r="B19" s="9"/>
    </row>
    <row r="20" spans="2:2" ht="20.25" thickBot="1" x14ac:dyDescent="0.25">
      <c r="B20" s="12" t="s">
        <v>132</v>
      </c>
    </row>
    <row r="21" spans="2:2" ht="17.25" thickTop="1" x14ac:dyDescent="0.2">
      <c r="B21" s="8" t="s">
        <v>133</v>
      </c>
    </row>
    <row r="22" spans="2:2" ht="16.5" x14ac:dyDescent="0.2">
      <c r="B22" s="8" t="s">
        <v>134</v>
      </c>
    </row>
    <row r="23" spans="2:2" ht="16.5" x14ac:dyDescent="0.2">
      <c r="B23" s="8" t="s">
        <v>214</v>
      </c>
    </row>
    <row r="24" spans="2:2" ht="16.5" x14ac:dyDescent="0.2">
      <c r="B24" s="8" t="s">
        <v>215</v>
      </c>
    </row>
    <row r="25" spans="2:2" ht="16.5" x14ac:dyDescent="0.2">
      <c r="B25" s="8" t="s">
        <v>216</v>
      </c>
    </row>
    <row r="26" spans="2:2" x14ac:dyDescent="0.2">
      <c r="B26" s="9"/>
    </row>
    <row r="27" spans="2:2" x14ac:dyDescent="0.2">
      <c r="B27" s="11" t="s">
        <v>82</v>
      </c>
    </row>
    <row r="28" spans="2:2" ht="28.5" x14ac:dyDescent="0.2">
      <c r="B28" s="11" t="s">
        <v>149</v>
      </c>
    </row>
    <row r="29" spans="2:2" x14ac:dyDescent="0.2">
      <c r="B29" s="11" t="s">
        <v>217</v>
      </c>
    </row>
    <row r="30" spans="2:2" x14ac:dyDescent="0.2">
      <c r="B30" s="9"/>
    </row>
    <row r="31" spans="2:2" ht="20.25" thickBot="1" x14ac:dyDescent="0.25">
      <c r="B31" s="12" t="s">
        <v>218</v>
      </c>
    </row>
    <row r="32" spans="2:2" ht="17.25" thickTop="1" x14ac:dyDescent="0.2">
      <c r="B32" s="8" t="s">
        <v>222</v>
      </c>
    </row>
    <row r="33" spans="2:2" ht="16.5" x14ac:dyDescent="0.2">
      <c r="B33" s="8" t="s">
        <v>221</v>
      </c>
    </row>
    <row r="34" spans="2:2" ht="16.5" x14ac:dyDescent="0.2">
      <c r="B34" s="8" t="s">
        <v>135</v>
      </c>
    </row>
    <row r="35" spans="2:2" x14ac:dyDescent="0.2">
      <c r="B35" s="9"/>
    </row>
    <row r="36" spans="2:2" x14ac:dyDescent="0.2">
      <c r="B36" s="11" t="s">
        <v>82</v>
      </c>
    </row>
    <row r="37" spans="2:2" ht="28.5" x14ac:dyDescent="0.2">
      <c r="B37" s="11" t="s">
        <v>157</v>
      </c>
    </row>
    <row r="38" spans="2:2" x14ac:dyDescent="0.2">
      <c r="B38" s="9"/>
    </row>
    <row r="39" spans="2:2" ht="20.25" thickBot="1" x14ac:dyDescent="0.25">
      <c r="B39" s="12" t="s">
        <v>219</v>
      </c>
    </row>
    <row r="40" spans="2:2" ht="50.25" thickTop="1" x14ac:dyDescent="0.2">
      <c r="B40" s="8" t="s">
        <v>136</v>
      </c>
    </row>
    <row r="41" spans="2:2" x14ac:dyDescent="0.2">
      <c r="B41" s="9"/>
    </row>
    <row r="42" spans="2:2" ht="49.5" x14ac:dyDescent="0.2">
      <c r="B42" s="8" t="s">
        <v>137</v>
      </c>
    </row>
    <row r="43" spans="2:2" x14ac:dyDescent="0.2">
      <c r="B43" s="9"/>
    </row>
    <row r="44" spans="2:2" ht="20.25" thickBot="1" x14ac:dyDescent="0.25">
      <c r="B44" s="12" t="s">
        <v>220</v>
      </c>
    </row>
    <row r="45" spans="2:2" ht="17.25" thickTop="1" x14ac:dyDescent="0.2">
      <c r="B45" s="8" t="s">
        <v>138</v>
      </c>
    </row>
    <row r="46" spans="2:2" x14ac:dyDescent="0.2">
      <c r="B46" s="9"/>
    </row>
    <row r="47" spans="2:2" ht="16.5" x14ac:dyDescent="0.2">
      <c r="B47" s="8" t="s">
        <v>139</v>
      </c>
    </row>
    <row r="48" spans="2:2" x14ac:dyDescent="0.2">
      <c r="B48" s="9"/>
    </row>
    <row r="49" spans="2:2" x14ac:dyDescent="0.2">
      <c r="B49" s="11" t="s">
        <v>82</v>
      </c>
    </row>
    <row r="50" spans="2:2" x14ac:dyDescent="0.2">
      <c r="B50" s="11" t="s">
        <v>150</v>
      </c>
    </row>
    <row r="51" spans="2:2" x14ac:dyDescent="0.2">
      <c r="B51" s="9"/>
    </row>
    <row r="52" spans="2:2" ht="33" x14ac:dyDescent="0.2">
      <c r="B52" s="8" t="s">
        <v>140</v>
      </c>
    </row>
    <row r="53" spans="2:2" x14ac:dyDescent="0.2">
      <c r="B53" s="9"/>
    </row>
    <row r="54" spans="2:2" x14ac:dyDescent="0.2">
      <c r="B54" s="11" t="s">
        <v>82</v>
      </c>
    </row>
    <row r="55" spans="2:2" x14ac:dyDescent="0.2">
      <c r="B55" s="11" t="s">
        <v>151</v>
      </c>
    </row>
    <row r="56" spans="2:2" ht="15" thickBot="1" x14ac:dyDescent="0.25">
      <c r="B56" s="13"/>
    </row>
    <row r="57" spans="2:2" ht="33.75" thickTop="1" x14ac:dyDescent="0.2">
      <c r="B57" s="8" t="s">
        <v>141</v>
      </c>
    </row>
    <row r="58" spans="2:2" x14ac:dyDescent="0.2">
      <c r="B58" s="9"/>
    </row>
    <row r="59" spans="2:2" ht="16.5" x14ac:dyDescent="0.2">
      <c r="B59" s="8" t="s">
        <v>142</v>
      </c>
    </row>
    <row r="60" spans="2:2" x14ac:dyDescent="0.2">
      <c r="B60" s="9"/>
    </row>
    <row r="61" spans="2:2" ht="33" x14ac:dyDescent="0.2">
      <c r="B61" s="8" t="s">
        <v>143</v>
      </c>
    </row>
    <row r="62" spans="2:2" x14ac:dyDescent="0.2">
      <c r="B62" s="9"/>
    </row>
    <row r="63" spans="2:2" ht="33" x14ac:dyDescent="0.2">
      <c r="B63" s="8" t="s">
        <v>144</v>
      </c>
    </row>
    <row r="64" spans="2:2" ht="16.5" x14ac:dyDescent="0.2">
      <c r="B64" s="8" t="s">
        <v>145</v>
      </c>
    </row>
    <row r="65" spans="2:2" ht="16.5" x14ac:dyDescent="0.2">
      <c r="B65" s="8" t="s">
        <v>146</v>
      </c>
    </row>
    <row r="66" spans="2:2" x14ac:dyDescent="0.2">
      <c r="B66" s="9"/>
    </row>
    <row r="67" spans="2:2" x14ac:dyDescent="0.2">
      <c r="B67" s="11" t="s">
        <v>82</v>
      </c>
    </row>
    <row r="68" spans="2:2" ht="28.5" x14ac:dyDescent="0.2">
      <c r="B68" s="11" t="s">
        <v>152</v>
      </c>
    </row>
    <row r="69" spans="2:2" ht="15" thickBot="1" x14ac:dyDescent="0.25">
      <c r="B69" s="14"/>
    </row>
  </sheetData>
  <dataConsolid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36"/>
  <sheetViews>
    <sheetView workbookViewId="0">
      <selection activeCell="D49" sqref="D49"/>
    </sheetView>
  </sheetViews>
  <sheetFormatPr defaultColWidth="9.125" defaultRowHeight="14.25" x14ac:dyDescent="0.2"/>
  <cols>
    <col min="1" max="1" width="4.25" style="6" customWidth="1"/>
    <col min="2" max="2" width="16.375" style="6" bestFit="1" customWidth="1"/>
    <col min="3" max="3" width="13.625" style="6" bestFit="1" customWidth="1"/>
    <col min="4" max="4" width="8.375" style="6" bestFit="1" customWidth="1"/>
    <col min="5" max="5" width="13.75" style="6" customWidth="1"/>
    <col min="6" max="6" width="7" style="6" bestFit="1" customWidth="1"/>
    <col min="7" max="7" width="8.75" style="6" bestFit="1" customWidth="1"/>
    <col min="8" max="8" width="14.125" style="6" bestFit="1" customWidth="1"/>
    <col min="9" max="9" width="4.25" style="6" customWidth="1"/>
    <col min="10" max="10" width="7" style="6" bestFit="1" customWidth="1"/>
    <col min="11" max="11" width="6.625" style="6" bestFit="1" customWidth="1"/>
    <col min="12" max="13" width="7" style="6" bestFit="1" customWidth="1"/>
    <col min="14" max="14" width="8.75" style="6" bestFit="1" customWidth="1"/>
    <col min="15" max="15" width="14.125" style="6" bestFit="1" customWidth="1"/>
    <col min="16" max="16384" width="9.125" style="6"/>
  </cols>
  <sheetData>
    <row r="1" spans="2:9" ht="15" thickBot="1" x14ac:dyDescent="0.25"/>
    <row r="2" spans="2:9" ht="15.75" thickBot="1" x14ac:dyDescent="0.25">
      <c r="B2" s="149" t="s">
        <v>167</v>
      </c>
      <c r="C2" s="150"/>
      <c r="D2" s="150"/>
      <c r="E2" s="150"/>
      <c r="F2" s="150"/>
      <c r="G2" s="150"/>
      <c r="H2" s="151"/>
    </row>
    <row r="3" spans="2:9" ht="44.25" thickTop="1" x14ac:dyDescent="0.2">
      <c r="B3" s="15" t="s">
        <v>29</v>
      </c>
      <c r="C3" s="16" t="s">
        <v>170</v>
      </c>
      <c r="D3" s="16" t="s">
        <v>154</v>
      </c>
      <c r="E3" s="16" t="s">
        <v>171</v>
      </c>
      <c r="F3" s="16" t="s">
        <v>155</v>
      </c>
      <c r="G3" s="16" t="s">
        <v>33</v>
      </c>
      <c r="H3" s="17" t="s">
        <v>34</v>
      </c>
      <c r="I3" s="5"/>
    </row>
    <row r="4" spans="2:9" x14ac:dyDescent="0.2">
      <c r="B4" s="18">
        <v>1</v>
      </c>
      <c r="C4" s="19" t="str">
        <f>Search1!C$20</f>
        <v>Ch1</v>
      </c>
      <c r="D4" s="20">
        <f>Search1!C$29</f>
        <v>122</v>
      </c>
      <c r="E4" s="19" t="str">
        <f>Search1!D$20</f>
        <v>Ch2</v>
      </c>
      <c r="F4" s="20">
        <f>Search1!D$29</f>
        <v>122</v>
      </c>
      <c r="G4" s="20">
        <f>Search1!C$98</f>
        <v>79.023008693819847</v>
      </c>
      <c r="H4" s="21">
        <f>$G$4/G4</f>
        <v>1</v>
      </c>
    </row>
    <row r="5" spans="2:9" x14ac:dyDescent="0.2">
      <c r="B5" s="18">
        <v>2</v>
      </c>
      <c r="C5" s="19"/>
      <c r="D5" s="20"/>
      <c r="E5" s="19"/>
      <c r="F5" s="20"/>
      <c r="G5" s="20"/>
      <c r="H5" s="21"/>
    </row>
    <row r="6" spans="2:9" x14ac:dyDescent="0.2">
      <c r="B6" s="18">
        <v>3</v>
      </c>
      <c r="C6" s="19"/>
      <c r="D6" s="20"/>
      <c r="E6" s="19"/>
      <c r="F6" s="20"/>
      <c r="G6" s="20"/>
      <c r="H6" s="21"/>
    </row>
    <row r="7" spans="2:9" x14ac:dyDescent="0.2">
      <c r="B7" s="18">
        <v>4</v>
      </c>
      <c r="C7" s="19"/>
      <c r="D7" s="20"/>
      <c r="E7" s="19"/>
      <c r="F7" s="20"/>
      <c r="G7" s="20"/>
      <c r="H7" s="21"/>
      <c r="I7" s="22"/>
    </row>
    <row r="8" spans="2:9" x14ac:dyDescent="0.2">
      <c r="B8" s="18">
        <v>5</v>
      </c>
      <c r="C8" s="19"/>
      <c r="D8" s="20"/>
      <c r="E8" s="19"/>
      <c r="F8" s="20"/>
      <c r="G8" s="20"/>
      <c r="H8" s="21"/>
      <c r="I8" s="22"/>
    </row>
    <row r="9" spans="2:9" x14ac:dyDescent="0.2">
      <c r="B9" s="18">
        <v>6</v>
      </c>
      <c r="C9" s="19"/>
      <c r="D9" s="20"/>
      <c r="E9" s="19"/>
      <c r="F9" s="20"/>
      <c r="G9" s="20"/>
      <c r="H9" s="21"/>
      <c r="I9" s="22"/>
    </row>
    <row r="10" spans="2:9" x14ac:dyDescent="0.2">
      <c r="B10" s="18">
        <v>7</v>
      </c>
      <c r="C10" s="19"/>
      <c r="D10" s="20"/>
      <c r="E10" s="19"/>
      <c r="F10" s="20"/>
      <c r="G10" s="20"/>
      <c r="H10" s="21"/>
      <c r="I10" s="22"/>
    </row>
    <row r="11" spans="2:9" x14ac:dyDescent="0.2">
      <c r="B11" s="18">
        <v>8</v>
      </c>
      <c r="C11" s="19"/>
      <c r="D11" s="20"/>
      <c r="E11" s="19"/>
      <c r="F11" s="20"/>
      <c r="G11" s="20"/>
      <c r="H11" s="21"/>
      <c r="I11" s="22"/>
    </row>
    <row r="12" spans="2:9" x14ac:dyDescent="0.2">
      <c r="B12" s="18">
        <v>9</v>
      </c>
      <c r="C12" s="19"/>
      <c r="D12" s="20"/>
      <c r="E12" s="19"/>
      <c r="F12" s="20"/>
      <c r="G12" s="20"/>
      <c r="H12" s="21"/>
      <c r="I12" s="22"/>
    </row>
    <row r="13" spans="2:9" x14ac:dyDescent="0.2">
      <c r="B13" s="18">
        <v>10</v>
      </c>
      <c r="C13" s="19"/>
      <c r="D13" s="20"/>
      <c r="E13" s="19"/>
      <c r="F13" s="20"/>
      <c r="G13" s="20"/>
      <c r="H13" s="21"/>
      <c r="I13" s="22"/>
    </row>
    <row r="14" spans="2:9" x14ac:dyDescent="0.2">
      <c r="B14" s="18">
        <v>11</v>
      </c>
      <c r="C14" s="19"/>
      <c r="D14" s="20"/>
      <c r="E14" s="19"/>
      <c r="F14" s="20"/>
      <c r="G14" s="20"/>
      <c r="H14" s="21"/>
      <c r="I14" s="22"/>
    </row>
    <row r="15" spans="2:9" x14ac:dyDescent="0.2">
      <c r="B15" s="18">
        <v>12</v>
      </c>
      <c r="C15" s="19"/>
      <c r="D15" s="20"/>
      <c r="E15" s="19"/>
      <c r="F15" s="20"/>
      <c r="G15" s="20"/>
      <c r="H15" s="21"/>
      <c r="I15" s="22"/>
    </row>
    <row r="16" spans="2:9" x14ac:dyDescent="0.2">
      <c r="B16" s="18">
        <v>13</v>
      </c>
      <c r="C16" s="19"/>
      <c r="D16" s="20"/>
      <c r="E16" s="19"/>
      <c r="F16" s="20"/>
      <c r="G16" s="20"/>
      <c r="H16" s="21"/>
      <c r="I16" s="22"/>
    </row>
    <row r="17" spans="2:9" x14ac:dyDescent="0.2">
      <c r="B17" s="18">
        <v>14</v>
      </c>
      <c r="C17" s="19"/>
      <c r="D17" s="20"/>
      <c r="E17" s="19"/>
      <c r="F17" s="20"/>
      <c r="G17" s="20"/>
      <c r="H17" s="21"/>
      <c r="I17" s="22"/>
    </row>
    <row r="18" spans="2:9" x14ac:dyDescent="0.2">
      <c r="B18" s="18">
        <v>15</v>
      </c>
      <c r="C18" s="19"/>
      <c r="D18" s="20"/>
      <c r="E18" s="19"/>
      <c r="F18" s="20"/>
      <c r="G18" s="20"/>
      <c r="H18" s="21"/>
      <c r="I18" s="22"/>
    </row>
    <row r="19" spans="2:9" x14ac:dyDescent="0.2">
      <c r="B19" s="18">
        <v>16</v>
      </c>
      <c r="C19" s="19"/>
      <c r="D19" s="20"/>
      <c r="E19" s="19"/>
      <c r="F19" s="20"/>
      <c r="G19" s="20"/>
      <c r="H19" s="21"/>
    </row>
    <row r="20" spans="2:9" x14ac:dyDescent="0.2">
      <c r="B20" s="18">
        <v>17</v>
      </c>
      <c r="C20" s="19"/>
      <c r="D20" s="20"/>
      <c r="E20" s="19"/>
      <c r="F20" s="20"/>
      <c r="G20" s="20"/>
      <c r="H20" s="21"/>
    </row>
    <row r="21" spans="2:9" x14ac:dyDescent="0.2">
      <c r="B21" s="18">
        <v>18</v>
      </c>
      <c r="C21" s="19"/>
      <c r="D21" s="20"/>
      <c r="E21" s="19"/>
      <c r="F21" s="20"/>
      <c r="G21" s="20"/>
      <c r="H21" s="21"/>
    </row>
    <row r="22" spans="2:9" x14ac:dyDescent="0.2">
      <c r="B22" s="18">
        <v>19</v>
      </c>
      <c r="C22" s="19"/>
      <c r="D22" s="20"/>
      <c r="E22" s="19"/>
      <c r="F22" s="20"/>
      <c r="G22" s="20"/>
      <c r="H22" s="21"/>
    </row>
    <row r="23" spans="2:9" x14ac:dyDescent="0.2">
      <c r="B23" s="18">
        <v>20</v>
      </c>
      <c r="C23" s="19"/>
      <c r="D23" s="20"/>
      <c r="E23" s="19"/>
      <c r="F23" s="20"/>
      <c r="G23" s="20"/>
      <c r="H23" s="21"/>
    </row>
    <row r="24" spans="2:9" x14ac:dyDescent="0.2">
      <c r="B24" s="18">
        <v>21</v>
      </c>
      <c r="C24" s="19"/>
      <c r="D24" s="20"/>
      <c r="E24" s="19"/>
      <c r="F24" s="20"/>
      <c r="G24" s="20"/>
      <c r="H24" s="21"/>
    </row>
    <row r="25" spans="2:9" x14ac:dyDescent="0.2">
      <c r="B25" s="18">
        <v>22</v>
      </c>
      <c r="C25" s="19"/>
      <c r="D25" s="20"/>
      <c r="E25" s="19"/>
      <c r="F25" s="20"/>
      <c r="G25" s="20"/>
      <c r="H25" s="21"/>
    </row>
    <row r="26" spans="2:9" x14ac:dyDescent="0.2">
      <c r="B26" s="18">
        <v>23</v>
      </c>
      <c r="C26" s="19"/>
      <c r="D26" s="20"/>
      <c r="E26" s="19"/>
      <c r="F26" s="20"/>
      <c r="G26" s="20"/>
      <c r="H26" s="21"/>
    </row>
    <row r="27" spans="2:9" x14ac:dyDescent="0.2">
      <c r="B27" s="18">
        <v>24</v>
      </c>
      <c r="C27" s="19"/>
      <c r="D27" s="20"/>
      <c r="E27" s="19"/>
      <c r="F27" s="20"/>
      <c r="G27" s="20"/>
      <c r="H27" s="21"/>
    </row>
    <row r="28" spans="2:9" x14ac:dyDescent="0.2">
      <c r="B28" s="18">
        <v>25</v>
      </c>
      <c r="C28" s="19"/>
      <c r="D28" s="20"/>
      <c r="E28" s="19"/>
      <c r="F28" s="20"/>
      <c r="G28" s="20"/>
      <c r="H28" s="21"/>
    </row>
    <row r="29" spans="2:9" x14ac:dyDescent="0.2">
      <c r="B29" s="18">
        <v>26</v>
      </c>
      <c r="C29" s="19"/>
      <c r="D29" s="20"/>
      <c r="E29" s="19"/>
      <c r="F29" s="20"/>
      <c r="G29" s="20"/>
      <c r="H29" s="21"/>
    </row>
    <row r="30" spans="2:9" x14ac:dyDescent="0.2">
      <c r="B30" s="18">
        <v>27</v>
      </c>
      <c r="C30" s="19"/>
      <c r="D30" s="20"/>
      <c r="E30" s="19"/>
      <c r="F30" s="20"/>
      <c r="G30" s="20"/>
      <c r="H30" s="21"/>
    </row>
    <row r="31" spans="2:9" x14ac:dyDescent="0.2">
      <c r="B31" s="18">
        <v>28</v>
      </c>
      <c r="C31" s="19"/>
      <c r="D31" s="20"/>
      <c r="E31" s="19"/>
      <c r="F31" s="20"/>
      <c r="G31" s="20"/>
      <c r="H31" s="21"/>
    </row>
    <row r="32" spans="2:9" x14ac:dyDescent="0.2">
      <c r="B32" s="18">
        <v>29</v>
      </c>
      <c r="C32" s="19"/>
      <c r="D32" s="20"/>
      <c r="E32" s="19"/>
      <c r="F32" s="20"/>
      <c r="G32" s="20"/>
      <c r="H32" s="21"/>
    </row>
    <row r="33" spans="2:8" x14ac:dyDescent="0.2">
      <c r="B33" s="18">
        <v>30</v>
      </c>
      <c r="C33" s="19"/>
      <c r="D33" s="20"/>
      <c r="E33" s="19"/>
      <c r="F33" s="20"/>
      <c r="G33" s="20"/>
      <c r="H33" s="21"/>
    </row>
    <row r="34" spans="2:8" x14ac:dyDescent="0.2">
      <c r="B34" s="18">
        <v>31</v>
      </c>
      <c r="C34" s="19"/>
      <c r="D34" s="20"/>
      <c r="E34" s="19"/>
      <c r="F34" s="20"/>
      <c r="G34" s="20"/>
      <c r="H34" s="21"/>
    </row>
    <row r="35" spans="2:8" x14ac:dyDescent="0.2">
      <c r="B35" s="18">
        <v>32</v>
      </c>
      <c r="C35" s="19"/>
      <c r="D35" s="20"/>
      <c r="E35" s="19"/>
      <c r="F35" s="20"/>
      <c r="G35" s="20"/>
      <c r="H35" s="21"/>
    </row>
    <row r="36" spans="2:8" ht="15" thickBot="1" x14ac:dyDescent="0.25">
      <c r="B36" s="23" t="s">
        <v>153</v>
      </c>
      <c r="C36" s="24"/>
      <c r="D36" s="25">
        <f>SUM(D4:D35)</f>
        <v>122</v>
      </c>
      <c r="E36" s="24"/>
      <c r="F36" s="25">
        <f>SUM(F4:F35)</f>
        <v>122</v>
      </c>
      <c r="G36" s="24"/>
      <c r="H36" s="26"/>
    </row>
  </sheetData>
  <mergeCells count="1">
    <mergeCell ref="B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General System Parameters</vt:lpstr>
      <vt:lpstr>Sequences</vt:lpstr>
      <vt:lpstr>Search1</vt:lpstr>
      <vt:lpstr>Search2</vt:lpstr>
      <vt:lpstr>Search3</vt:lpstr>
      <vt:lpstr>Search4</vt:lpstr>
      <vt:lpstr>Search5</vt:lpstr>
      <vt:lpstr>Track1</vt:lpstr>
      <vt:lpstr>Track2</vt:lpstr>
      <vt:lpstr>Track3</vt:lpstr>
      <vt:lpstr>Prop1</vt:lpstr>
      <vt:lpstr>Prop2</vt:lpstr>
      <vt:lpstr>Prop3</vt:lpstr>
      <vt:lpstr>Test</vt:lpstr>
      <vt:lpstr>RPM</vt:lpstr>
      <vt:lpstr>AGC Set Table</vt:lpstr>
      <vt:lpstr>Options List</vt:lpstr>
      <vt:lpstr>Parameters List</vt:lpstr>
      <vt:lpstr>XML Keys</vt:lpstr>
      <vt:lpstr>XML File Parameters</vt:lpstr>
      <vt:lpstr>Excel Explanation</vt:lpstr>
      <vt:lpstr>Modes Definition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dmitry.lihovetski@zakif.local</dc:creator>
  <cp:lastModifiedBy>Oren Barklis</cp:lastModifiedBy>
  <cp:lastPrinted>2012-07-03T09:48:28Z</cp:lastPrinted>
  <dcterms:created xsi:type="dcterms:W3CDTF">2011-10-17T09:47:30Z</dcterms:created>
  <dcterms:modified xsi:type="dcterms:W3CDTF">2019-04-09T10:10:08Z</dcterms:modified>
</cp:coreProperties>
</file>